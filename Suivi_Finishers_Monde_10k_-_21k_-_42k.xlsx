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4. Grand Public\Running\0. Documents communs\"/>
    </mc:Choice>
  </mc:AlternateContent>
  <xr:revisionPtr revIDLastSave="0" documentId="13_ncr:1_{5E25FD0E-CED1-4287-9EBF-8F18E0856FA5}" xr6:coauthVersionLast="47" xr6:coauthVersionMax="47" xr10:uidLastSave="{00000000-0000-0000-0000-000000000000}"/>
  <bookViews>
    <workbookView xWindow="40" yWindow="-16310" windowWidth="29020" windowHeight="15700" activeTab="2" xr2:uid="{6835D04C-6B0D-4AD6-9F4F-BD889C5731E0}"/>
  </bookViews>
  <sheets>
    <sheet name="10K" sheetId="3" r:id="rId1"/>
    <sheet name="21K" sheetId="1" r:id="rId2"/>
    <sheet name="42K" sheetId="2" r:id="rId3"/>
    <sheet name="ALL" sheetId="6" r:id="rId4"/>
    <sheet name="BIGGEST EVENTS" sheetId="8" r:id="rId5"/>
  </sheets>
  <definedNames>
    <definedName name="_xlnm._FilterDatabase" localSheetId="0" hidden="1">'10K'!$A$1:$G$1</definedName>
    <definedName name="_xlnm._FilterDatabase" localSheetId="1" hidden="1">'21K'!$A$1:$G$1</definedName>
    <definedName name="_xlnm._FilterDatabase" localSheetId="2" hidden="1">'42K'!$A$1:$G$1</definedName>
    <definedName name="_xlnm._FilterDatabase" localSheetId="3" hidden="1">ALL!$A$1:$H$1</definedName>
    <definedName name="_xlnm._FilterDatabase" localSheetId="4" hidden="1">'BIGGEST EVENTS'!$A$1:$H$1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/>
  <c r="G6" i="6"/>
  <c r="F6" i="1" l="1"/>
  <c r="G6" i="1"/>
</calcChain>
</file>

<file path=xl/sharedStrings.xml><?xml version="1.0" encoding="utf-8"?>
<sst xmlns="http://schemas.openxmlformats.org/spreadsheetml/2006/main" count="959" uniqueCount="203">
  <si>
    <t>City</t>
  </si>
  <si>
    <t>Race</t>
  </si>
  <si>
    <t>Paris</t>
  </si>
  <si>
    <t>Göteborg (Suède)</t>
  </si>
  <si>
    <t>Göteborgsvarvet </t>
  </si>
  <si>
    <t>Newcastle</t>
  </si>
  <si>
    <t>Copenhague</t>
  </si>
  <si>
    <t>Berlin</t>
  </si>
  <si>
    <t>New York</t>
  </si>
  <si>
    <t>Barcelone</t>
  </si>
  <si>
    <t>Valence</t>
  </si>
  <si>
    <t>Cardiff</t>
  </si>
  <si>
    <t>Hong Kong</t>
  </si>
  <si>
    <t>Manchester</t>
  </si>
  <si>
    <t>Bogota</t>
  </si>
  <si>
    <t>Madrid</t>
  </si>
  <si>
    <t>Sydney</t>
  </si>
  <si>
    <t>Londres</t>
  </si>
  <si>
    <t>Rotterdam</t>
  </si>
  <si>
    <t>Rome</t>
  </si>
  <si>
    <t>Indianapolis</t>
  </si>
  <si>
    <t>IU Health 500 Festival Mini-Marathon</t>
  </si>
  <si>
    <t>Lisbonne</t>
  </si>
  <si>
    <t>San Diego</t>
  </si>
  <si>
    <t>Taipei</t>
  </si>
  <si>
    <t>Orlando</t>
  </si>
  <si>
    <t>Singapour</t>
  </si>
  <si>
    <t>Tokyo</t>
  </si>
  <si>
    <t>Houston</t>
  </si>
  <si>
    <t>Prague</t>
  </si>
  <si>
    <t>Seville</t>
  </si>
  <si>
    <t>Amsterdam</t>
  </si>
  <si>
    <t>Vienne</t>
  </si>
  <si>
    <t>Washington DC</t>
  </si>
  <si>
    <t>Melbourne</t>
  </si>
  <si>
    <t>Las Vegas</t>
  </si>
  <si>
    <t>Montréal</t>
  </si>
  <si>
    <t>New Delhi</t>
  </si>
  <si>
    <t>Bath</t>
  </si>
  <si>
    <t>Boulogne-Billancourt</t>
  </si>
  <si>
    <t>Nashville</t>
  </si>
  <si>
    <t>Bristol</t>
  </si>
  <si>
    <t>Munich</t>
  </si>
  <si>
    <t>Broløbet - The Bridge Run</t>
  </si>
  <si>
    <t>Generali Berlin Half Marathon</t>
  </si>
  <si>
    <t>Copenhagen Half Marathon</t>
  </si>
  <si>
    <t>United Airlines NYC Half</t>
  </si>
  <si>
    <t>NYRR RBC Brooklyn Half</t>
  </si>
  <si>
    <t>Mitja Marato Barcelona by Brooks</t>
  </si>
  <si>
    <t>Valencia Half Marathon Trinidad Alfonso Zurich</t>
  </si>
  <si>
    <t>Cardiff Half Marathon</t>
  </si>
  <si>
    <t>NYCRUNS Brooklyn Experience Half Marathon</t>
  </si>
  <si>
    <t>Standard Chartered Hong Kong Half Marathon</t>
  </si>
  <si>
    <t>Manchester Half Marathon</t>
  </si>
  <si>
    <t>Movistar Madrid Medio Maraton</t>
  </si>
  <si>
    <t>Hoka Runaway Sydney Half Marathon</t>
  </si>
  <si>
    <t>London Landmarks Half Marathon</t>
  </si>
  <si>
    <t>EDP Lisboa Meia Maratona</t>
  </si>
  <si>
    <t>The Big Half</t>
  </si>
  <si>
    <t>Taipei Half Marathon</t>
  </si>
  <si>
    <t>Royal Parks Half Marathon</t>
  </si>
  <si>
    <t>Disney Princess Half Marathon</t>
  </si>
  <si>
    <t>Standard Chartered Singapore Half Marathon</t>
  </si>
  <si>
    <t>Tokyo Legacy Half Marathon</t>
  </si>
  <si>
    <t>Aramco Houston Half Marathon</t>
  </si>
  <si>
    <t>Generali Prague Half Marathon</t>
  </si>
  <si>
    <t>Medio Maraton de Sevilla</t>
  </si>
  <si>
    <t>TCS Mizuno Half Marathon</t>
  </si>
  <si>
    <t>Vienna City Half Marathon</t>
  </si>
  <si>
    <t>21K de Montréal</t>
  </si>
  <si>
    <t>Vedanta Delhi Half Marathon</t>
  </si>
  <si>
    <t>GetPro Bath Half</t>
  </si>
  <si>
    <t>Semi-Marathon de Boulogne-Billancourt</t>
  </si>
  <si>
    <t>Half Marathon Munchen by Brooks</t>
  </si>
  <si>
    <t>Période</t>
  </si>
  <si>
    <t>Mars</t>
  </si>
  <si>
    <t>Janvier</t>
  </si>
  <si>
    <t>Février</t>
  </si>
  <si>
    <t>Walt Disney World Marathon Weekend</t>
  </si>
  <si>
    <t>Mumbai</t>
  </si>
  <si>
    <t>Riyadh</t>
  </si>
  <si>
    <t>Naples</t>
  </si>
  <si>
    <t>Coelmo Napoli City Half Marathon</t>
  </si>
  <si>
    <t>Décembre</t>
  </si>
  <si>
    <t>Mexico City</t>
  </si>
  <si>
    <t>Zurich Rock 'n' Roll Running Series Madrid</t>
  </si>
  <si>
    <t>St. Jude Rock 'n' Roll Running Series Washington DC</t>
  </si>
  <si>
    <t>Rock 'n' Roll Running Series San Diego</t>
  </si>
  <si>
    <t>Rock 'n' Roll Running Series Las Vegas</t>
  </si>
  <si>
    <t>St. Jude Rock 'n' Roll Series Nashville</t>
  </si>
  <si>
    <t>Rock 'n' Roll Running Series Mexico City</t>
  </si>
  <si>
    <t>Mai</t>
  </si>
  <si>
    <t>Avril</t>
  </si>
  <si>
    <t>Septembre</t>
  </si>
  <si>
    <t>Juin</t>
  </si>
  <si>
    <t>Octobre</t>
  </si>
  <si>
    <t>Juillet</t>
  </si>
  <si>
    <t>Media Maraton de Bogota</t>
  </si>
  <si>
    <t>NN CPC Loop Den Haag</t>
  </si>
  <si>
    <t>Wizz Air Rome Half Marathon by Brooks</t>
  </si>
  <si>
    <t>Nike Melbourne Marathon Festival</t>
  </si>
  <si>
    <t>AJ Bell Great Manchester Run</t>
  </si>
  <si>
    <t>AJ Bell Great North Run</t>
  </si>
  <si>
    <t>Asics Run Melbourne</t>
  </si>
  <si>
    <t>Novembre</t>
  </si>
  <si>
    <t>AJ Bell Great Bristol Run</t>
  </si>
  <si>
    <t>Tata Mumbai Marathon</t>
  </si>
  <si>
    <t>Riyadh Marathon</t>
  </si>
  <si>
    <t>Chicago</t>
  </si>
  <si>
    <t>Life Time Chicago Half Marathon &amp; 5K</t>
  </si>
  <si>
    <t>Août</t>
  </si>
  <si>
    <t>Schneider Electric Marathon de Paris</t>
  </si>
  <si>
    <t>Tokyo Marathon</t>
  </si>
  <si>
    <t>Boston</t>
  </si>
  <si>
    <t>Boston Marathon</t>
  </si>
  <si>
    <t>TCS London Marathon</t>
  </si>
  <si>
    <t>Zurich Maratón de Sevilla</t>
  </si>
  <si>
    <t>Adidas Manchester Marathon</t>
  </si>
  <si>
    <t>TCS Sydney Marathon presented by ASICS</t>
  </si>
  <si>
    <t>BMW Berlin Marathon</t>
  </si>
  <si>
    <t>Bank of America Chicago Marathon</t>
  </si>
  <si>
    <t>TCS New York City Marathon</t>
  </si>
  <si>
    <t>Copenhagen Marathon</t>
  </si>
  <si>
    <t>Seoul</t>
  </si>
  <si>
    <t>Seoul Marathon</t>
  </si>
  <si>
    <t>TCS Amsterdam Marathon</t>
  </si>
  <si>
    <t>Valencia Marathon Trinidad Alfonso Zurich</t>
  </si>
  <si>
    <t>Chon Buri</t>
  </si>
  <si>
    <t>Bangsaen21</t>
  </si>
  <si>
    <t>Bangsaen42 Chonburi Marathon</t>
  </si>
  <si>
    <t>Bangsaen10</t>
  </si>
  <si>
    <t>Chevron Houston Marathon</t>
  </si>
  <si>
    <t>Dubai</t>
  </si>
  <si>
    <t>Burj2Burj Half Marathon</t>
  </si>
  <si>
    <t>NN Marathon Rotterdam</t>
  </si>
  <si>
    <t>Maratón de la Ciudad de México Telcel</t>
  </si>
  <si>
    <t>Standard Chartered Singapore Marathon</t>
  </si>
  <si>
    <t>Taipei Marathon</t>
  </si>
  <si>
    <t>Marugame</t>
  </si>
  <si>
    <t>Kagawa Marugame International Half Marathon</t>
  </si>
  <si>
    <t>Zurich Marató de Barcelona</t>
  </si>
  <si>
    <t>Varsovie</t>
  </si>
  <si>
    <t>Warsaw Half Marathon</t>
  </si>
  <si>
    <t>NN Maraton Warszawski</t>
  </si>
  <si>
    <t>Acea Run Rome The Marathon</t>
  </si>
  <si>
    <t>Vienna City Marathon</t>
  </si>
  <si>
    <t>Prague International Marathon</t>
  </si>
  <si>
    <t>Cape Town</t>
  </si>
  <si>
    <t>Sanlam Cape Town Marathon</t>
  </si>
  <si>
    <t>Canceled</t>
  </si>
  <si>
    <t>EDP Maratona de Lisboa</t>
  </si>
  <si>
    <t xml:space="preserve">Hyundai Meia Maratona </t>
  </si>
  <si>
    <t>TCS Toronto Waterfront Marathon</t>
  </si>
  <si>
    <t>Toronto</t>
  </si>
  <si>
    <t xml:space="preserve">	Irish Life Dublin Marathon</t>
  </si>
  <si>
    <t>Dublin</t>
  </si>
  <si>
    <t>10K Valencia Ibercaja by Kiprun</t>
  </si>
  <si>
    <t>10KM</t>
  </si>
  <si>
    <t>SEMI</t>
  </si>
  <si>
    <t>MARATHON</t>
  </si>
  <si>
    <t>EDP Meia Maratona de Lisboa - Vodafone 10K</t>
  </si>
  <si>
    <t>Vancouver</t>
  </si>
  <si>
    <t>Vancouver Sun Run</t>
  </si>
  <si>
    <t>Adidas 10K Paris</t>
  </si>
  <si>
    <t>HOKA Semi de Paris</t>
  </si>
  <si>
    <t>Atlanta</t>
  </si>
  <si>
    <t>Atlanta Journal-Constitution Peachtree Road Race</t>
  </si>
  <si>
    <t>NN San Silvestre Vallecana</t>
  </si>
  <si>
    <t>Saucony London 10K</t>
  </si>
  <si>
    <t>Lyon</t>
  </si>
  <si>
    <t>Run in Lyon</t>
  </si>
  <si>
    <t>10K Montmartre</t>
  </si>
  <si>
    <t>-</t>
  </si>
  <si>
    <t>Boulder</t>
  </si>
  <si>
    <t>BOLDERBoulder 10K</t>
  </si>
  <si>
    <t>Charleston</t>
  </si>
  <si>
    <t>Cooper River Bridge Run</t>
  </si>
  <si>
    <t>Marine Corps Marathon</t>
  </si>
  <si>
    <t>Honolulu</t>
  </si>
  <si>
    <t>Honolulu Marathon</t>
  </si>
  <si>
    <t>Los Angeles</t>
  </si>
  <si>
    <t>ASICS Los Angeles Marathon</t>
  </si>
  <si>
    <t>Austin, TX</t>
  </si>
  <si>
    <t>Statesman Capitol 10K</t>
  </si>
  <si>
    <t>Royal Run</t>
  </si>
  <si>
    <t>Ukrop's Monument Avenue 10K</t>
  </si>
  <si>
    <t>Richmond</t>
  </si>
  <si>
    <t>Brisbane</t>
  </si>
  <si>
    <t>Transurban Bridge to Brisbane</t>
  </si>
  <si>
    <t>Vitality London 10,000</t>
  </si>
  <si>
    <t>Cancer Research UK London Winter Run</t>
  </si>
  <si>
    <t>ASICS LDNX</t>
  </si>
  <si>
    <t>Eurospin RomaOstia Half Marathon</t>
  </si>
  <si>
    <t>NN CPC Loop Den Haag - 10 KM Loop</t>
  </si>
  <si>
    <t>NN CPC Loop Den Haag - Half Marathon</t>
  </si>
  <si>
    <t>Distance</t>
  </si>
  <si>
    <t>Semi / 10km / 5km</t>
  </si>
  <si>
    <t>Marathon</t>
  </si>
  <si>
    <t>10km</t>
  </si>
  <si>
    <t>Marathon / Semi / 10km</t>
  </si>
  <si>
    <t>Marathon / Semi / 7,5km</t>
  </si>
  <si>
    <t>Semi</t>
  </si>
  <si>
    <t>Semi / 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</si>
</sst>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3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4" fontId="6" fillId="0" borderId="3" xfId="1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right" vertical="center"/>
    </xf>
    <xf numFmtId="164" fontId="6" fillId="0" borderId="1" xfId="1" applyNumberFormat="1" applyFont="1" applyBorder="1" applyAlignment="1">
      <alignment horizontal="right" vertical="center"/>
    </xf>
    <xf numFmtId="0" fontId="4" fillId="0" borderId="1" xfId="0" applyFont="1" applyBorder="1"/>
    <xf numFmtId="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164" fontId="4" fillId="0" borderId="1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4" fillId="0" borderId="2" xfId="1" applyNumberFormat="1" applyFont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4" fillId="0" borderId="5" xfId="1" applyNumberFormat="1" applyFont="1" applyBorder="1" applyAlignment="1">
      <alignment horizontal="right" vertical="center"/>
    </xf>
    <xf numFmtId="164" fontId="6" fillId="0" borderId="5" xfId="1" applyNumberFormat="1" applyFont="1" applyBorder="1" applyAlignment="1">
      <alignment horizontal="right" vertical="center"/>
    </xf>
    <xf numFmtId="164" fontId="5" fillId="0" borderId="1" xfId="1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right" vertical="center"/>
    </xf>
    <xf numFmtId="164" fontId="6" fillId="0" borderId="2" xfId="1" applyNumberFormat="1" applyFont="1" applyBorder="1" applyAlignment="1">
      <alignment horizontal="right" vertical="center"/>
    </xf>
    <xf numFmtId="164" fontId="4" fillId="0" borderId="4" xfId="1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5" fillId="0" borderId="2" xfId="1" applyNumberFormat="1" applyFont="1" applyBorder="1" applyAlignment="1">
      <alignment horizontal="right" vertical="center"/>
    </xf>
    <xf numFmtId="164" fontId="4" fillId="3" borderId="1" xfId="1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right" vertical="center"/>
    </xf>
    <xf numFmtId="164" fontId="4" fillId="4" borderId="5" xfId="1" applyNumberFormat="1" applyFont="1" applyFill="1" applyBorder="1" applyAlignment="1">
      <alignment horizontal="right" vertical="center"/>
    </xf>
    <xf numFmtId="164" fontId="4" fillId="4" borderId="3" xfId="1" applyNumberFormat="1" applyFont="1" applyFill="1" applyBorder="1" applyAlignment="1">
      <alignment horizontal="right" vertical="center"/>
    </xf>
    <xf numFmtId="164" fontId="4" fillId="4" borderId="1" xfId="1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164" fontId="5" fillId="4" borderId="1" xfId="1" applyNumberFormat="1" applyFont="1" applyFill="1" applyBorder="1" applyAlignment="1">
      <alignment horizontal="right" vertical="center"/>
    </xf>
    <xf numFmtId="164" fontId="5" fillId="0" borderId="5" xfId="1" applyNumberFormat="1" applyFont="1" applyFill="1" applyBorder="1" applyAlignment="1">
      <alignment horizontal="right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64" fontId="6" fillId="4" borderId="1" xfId="1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164" fontId="6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Fill="1" applyBorder="1" applyAlignment="1">
      <alignment horizontal="right" vertical="center"/>
    </xf>
    <xf numFmtId="164" fontId="5" fillId="0" borderId="0" xfId="1" applyNumberFormat="1" applyFont="1" applyBorder="1" applyAlignment="1">
      <alignment horizontal="right" vertical="center"/>
    </xf>
    <xf numFmtId="0" fontId="4" fillId="0" borderId="0" xfId="0" applyFont="1"/>
    <xf numFmtId="164" fontId="4" fillId="0" borderId="0" xfId="1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6" fillId="0" borderId="6" xfId="1" applyNumberFormat="1" applyFont="1" applyBorder="1" applyAlignment="1">
      <alignment horizontal="right" vertical="center"/>
    </xf>
    <xf numFmtId="164" fontId="6" fillId="0" borderId="6" xfId="1" applyNumberFormat="1" applyFont="1" applyFill="1" applyBorder="1" applyAlignment="1">
      <alignment horizontal="right" vertical="center"/>
    </xf>
    <xf numFmtId="164" fontId="5" fillId="0" borderId="0" xfId="1" applyNumberFormat="1" applyFont="1" applyFill="1" applyBorder="1" applyAlignment="1">
      <alignment horizontal="right" vertical="center"/>
    </xf>
    <xf numFmtId="164" fontId="6" fillId="4" borderId="5" xfId="1" applyNumberFormat="1" applyFont="1" applyFill="1" applyBorder="1" applyAlignment="1">
      <alignment horizontal="right" vertical="center"/>
    </xf>
    <xf numFmtId="164" fontId="6" fillId="4" borderId="3" xfId="1" applyNumberFormat="1" applyFont="1" applyFill="1" applyBorder="1" applyAlignment="1">
      <alignment horizontal="right" vertical="center"/>
    </xf>
    <xf numFmtId="164" fontId="5" fillId="4" borderId="5" xfId="1" applyNumberFormat="1" applyFont="1" applyFill="1" applyBorder="1" applyAlignment="1">
      <alignment horizontal="right" vertical="center"/>
    </xf>
    <xf numFmtId="164" fontId="5" fillId="4" borderId="3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right" vertical="center"/>
    </xf>
    <xf numFmtId="164" fontId="5" fillId="0" borderId="3" xfId="1" applyNumberFormat="1" applyFont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4701-A54F-4A41-9089-941D91492F54}">
  <dimension ref="A1:J128"/>
  <sheetViews>
    <sheetView workbookViewId="0">
      <selection activeCell="C23" sqref="C23"/>
    </sheetView>
  </sheetViews>
  <sheetFormatPr baseColWidth="10" defaultRowHeight="14.5" x14ac:dyDescent="0.35"/>
  <cols>
    <col min="1" max="1" width="12" style="17" customWidth="1"/>
    <col min="2" max="2" width="17.08984375" style="14" bestFit="1" customWidth="1"/>
    <col min="3" max="3" width="48.1796875" bestFit="1" customWidth="1"/>
    <col min="4" max="4" width="11" style="18" customWidth="1"/>
    <col min="5" max="6" width="11" style="24" customWidth="1"/>
    <col min="7" max="7" width="11.08984375" style="24" customWidth="1"/>
  </cols>
  <sheetData>
    <row r="1" spans="1:7" x14ac:dyDescent="0.35">
      <c r="A1" s="15" t="s">
        <v>74</v>
      </c>
      <c r="B1" s="1" t="s">
        <v>0</v>
      </c>
      <c r="C1" s="2" t="s">
        <v>1</v>
      </c>
      <c r="D1" s="2">
        <v>2023</v>
      </c>
      <c r="E1" s="2">
        <v>2024</v>
      </c>
      <c r="F1" s="13">
        <v>2025</v>
      </c>
      <c r="G1" s="13">
        <v>2026</v>
      </c>
    </row>
    <row r="2" spans="1:7" x14ac:dyDescent="0.35">
      <c r="A2" s="16" t="s">
        <v>76</v>
      </c>
      <c r="B2" s="35" t="s">
        <v>10</v>
      </c>
      <c r="C2" s="34" t="s">
        <v>156</v>
      </c>
      <c r="D2" s="37">
        <v>9811</v>
      </c>
      <c r="E2" s="11">
        <v>10968</v>
      </c>
      <c r="F2" s="36">
        <v>13011</v>
      </c>
      <c r="G2" s="37">
        <v>14132</v>
      </c>
    </row>
    <row r="3" spans="1:7" x14ac:dyDescent="0.35">
      <c r="A3" s="49" t="s">
        <v>76</v>
      </c>
      <c r="B3" s="43" t="s">
        <v>2</v>
      </c>
      <c r="C3" s="44" t="s">
        <v>171</v>
      </c>
      <c r="D3" s="45" t="s">
        <v>172</v>
      </c>
      <c r="E3" s="45" t="s">
        <v>172</v>
      </c>
      <c r="F3" s="46" t="s">
        <v>172</v>
      </c>
      <c r="G3" s="47">
        <v>10984</v>
      </c>
    </row>
    <row r="4" spans="1:7" x14ac:dyDescent="0.35">
      <c r="A4" s="49" t="s">
        <v>77</v>
      </c>
      <c r="B4" s="54" t="s">
        <v>17</v>
      </c>
      <c r="C4" s="55" t="s">
        <v>190</v>
      </c>
      <c r="D4" s="56">
        <v>13706</v>
      </c>
      <c r="E4" s="56">
        <v>17821</v>
      </c>
      <c r="F4" s="69">
        <v>19820</v>
      </c>
      <c r="G4" s="70">
        <v>20049</v>
      </c>
    </row>
    <row r="5" spans="1:7" x14ac:dyDescent="0.35">
      <c r="A5" s="3" t="s">
        <v>75</v>
      </c>
      <c r="B5" s="9" t="s">
        <v>22</v>
      </c>
      <c r="C5" s="6" t="s">
        <v>160</v>
      </c>
      <c r="D5" s="28">
        <v>11275</v>
      </c>
      <c r="E5" s="28">
        <v>9800</v>
      </c>
      <c r="F5" s="31">
        <v>7256</v>
      </c>
      <c r="G5" s="5">
        <v>7872</v>
      </c>
    </row>
    <row r="6" spans="1:7" x14ac:dyDescent="0.35">
      <c r="A6" s="16" t="s">
        <v>75</v>
      </c>
      <c r="B6" s="3" t="s">
        <v>175</v>
      </c>
      <c r="C6" s="4" t="s">
        <v>176</v>
      </c>
      <c r="D6" s="10">
        <v>22336</v>
      </c>
      <c r="E6" s="10">
        <v>26744</v>
      </c>
      <c r="F6" s="31">
        <v>31203</v>
      </c>
      <c r="G6" s="5"/>
    </row>
    <row r="7" spans="1:7" x14ac:dyDescent="0.35">
      <c r="A7" s="3" t="s">
        <v>92</v>
      </c>
      <c r="B7" s="3" t="s">
        <v>161</v>
      </c>
      <c r="C7" s="6" t="s">
        <v>162</v>
      </c>
      <c r="D7" s="28">
        <v>25108</v>
      </c>
      <c r="E7" s="28">
        <v>34990</v>
      </c>
      <c r="F7" s="31">
        <v>39385</v>
      </c>
      <c r="G7" s="5"/>
    </row>
    <row r="8" spans="1:7" x14ac:dyDescent="0.35">
      <c r="A8" s="16" t="s">
        <v>92</v>
      </c>
      <c r="B8" s="3" t="s">
        <v>182</v>
      </c>
      <c r="C8" s="8" t="s">
        <v>183</v>
      </c>
      <c r="D8" s="33">
        <v>22059</v>
      </c>
      <c r="E8" s="33">
        <v>16169</v>
      </c>
      <c r="F8" s="31">
        <v>19327</v>
      </c>
      <c r="G8" s="5"/>
    </row>
    <row r="9" spans="1:7" x14ac:dyDescent="0.35">
      <c r="A9" s="16" t="s">
        <v>92</v>
      </c>
      <c r="B9" s="3" t="s">
        <v>186</v>
      </c>
      <c r="C9" s="8" t="s">
        <v>185</v>
      </c>
      <c r="D9" s="40">
        <v>14985</v>
      </c>
      <c r="E9" s="40">
        <v>18396</v>
      </c>
      <c r="F9" s="52">
        <v>18157</v>
      </c>
      <c r="G9" s="53"/>
    </row>
    <row r="10" spans="1:7" x14ac:dyDescent="0.35">
      <c r="A10" s="16" t="s">
        <v>91</v>
      </c>
      <c r="B10" s="9" t="s">
        <v>127</v>
      </c>
      <c r="C10" s="6" t="s">
        <v>130</v>
      </c>
      <c r="D10" s="11">
        <v>6035</v>
      </c>
      <c r="E10" s="11">
        <v>5991</v>
      </c>
      <c r="F10" s="32">
        <v>7142</v>
      </c>
      <c r="G10" s="7"/>
    </row>
    <row r="11" spans="1:7" x14ac:dyDescent="0.35">
      <c r="A11" s="16" t="s">
        <v>91</v>
      </c>
      <c r="B11" s="3" t="s">
        <v>13</v>
      </c>
      <c r="C11" s="8" t="s">
        <v>101</v>
      </c>
      <c r="D11" s="33"/>
      <c r="E11" s="33">
        <v>15291</v>
      </c>
      <c r="F11" s="31">
        <v>16778</v>
      </c>
      <c r="G11" s="5"/>
    </row>
    <row r="12" spans="1:7" x14ac:dyDescent="0.35">
      <c r="A12" s="16" t="s">
        <v>91</v>
      </c>
      <c r="B12" s="3" t="s">
        <v>173</v>
      </c>
      <c r="C12" s="8" t="s">
        <v>174</v>
      </c>
      <c r="D12" s="33">
        <v>35639</v>
      </c>
      <c r="E12" s="33">
        <v>41274</v>
      </c>
      <c r="F12" s="31">
        <v>45055</v>
      </c>
      <c r="G12" s="5"/>
    </row>
    <row r="13" spans="1:7" x14ac:dyDescent="0.35">
      <c r="A13" s="43" t="s">
        <v>94</v>
      </c>
      <c r="B13" s="43" t="s">
        <v>2</v>
      </c>
      <c r="C13" s="44" t="s">
        <v>163</v>
      </c>
      <c r="D13" s="45">
        <v>24629</v>
      </c>
      <c r="E13" s="45">
        <v>29610</v>
      </c>
      <c r="F13" s="46">
        <v>34353</v>
      </c>
      <c r="G13" s="47"/>
    </row>
    <row r="14" spans="1:7" x14ac:dyDescent="0.35">
      <c r="A14" s="16" t="s">
        <v>94</v>
      </c>
      <c r="B14" s="3" t="s">
        <v>6</v>
      </c>
      <c r="C14" s="6" t="s">
        <v>184</v>
      </c>
      <c r="D14" s="11">
        <v>11329</v>
      </c>
      <c r="E14" s="11">
        <v>13308</v>
      </c>
      <c r="F14" s="32">
        <v>13543</v>
      </c>
      <c r="G14" s="7"/>
    </row>
    <row r="15" spans="1:7" x14ac:dyDescent="0.35">
      <c r="A15" s="16" t="s">
        <v>96</v>
      </c>
      <c r="B15" s="3" t="s">
        <v>165</v>
      </c>
      <c r="C15" s="8" t="s">
        <v>166</v>
      </c>
      <c r="D15" s="33">
        <v>41806</v>
      </c>
      <c r="E15" s="33">
        <v>43339</v>
      </c>
      <c r="F15" s="31">
        <v>43654</v>
      </c>
      <c r="G15" s="5"/>
    </row>
    <row r="16" spans="1:7" x14ac:dyDescent="0.35">
      <c r="A16" s="16" t="s">
        <v>96</v>
      </c>
      <c r="B16" s="3" t="s">
        <v>17</v>
      </c>
      <c r="C16" s="4" t="s">
        <v>168</v>
      </c>
      <c r="D16" s="10">
        <v>13368</v>
      </c>
      <c r="E16" s="10">
        <v>12895</v>
      </c>
      <c r="F16" s="31">
        <v>13067</v>
      </c>
      <c r="G16" s="5"/>
    </row>
    <row r="17" spans="1:7" x14ac:dyDescent="0.35">
      <c r="A17" s="16" t="s">
        <v>93</v>
      </c>
      <c r="B17" s="3" t="s">
        <v>187</v>
      </c>
      <c r="C17" s="8" t="s">
        <v>188</v>
      </c>
      <c r="D17" s="33">
        <v>20274</v>
      </c>
      <c r="E17" s="33">
        <v>22903</v>
      </c>
      <c r="F17" s="10">
        <v>24703</v>
      </c>
      <c r="G17" s="10"/>
    </row>
    <row r="18" spans="1:7" x14ac:dyDescent="0.35">
      <c r="A18" s="16" t="s">
        <v>93</v>
      </c>
      <c r="B18" s="9" t="s">
        <v>17</v>
      </c>
      <c r="C18" s="6" t="s">
        <v>189</v>
      </c>
      <c r="D18" s="11">
        <v>12201</v>
      </c>
      <c r="E18" s="11">
        <v>15108</v>
      </c>
      <c r="F18" s="11">
        <v>17154</v>
      </c>
      <c r="G18" s="11"/>
    </row>
    <row r="19" spans="1:7" x14ac:dyDescent="0.35">
      <c r="A19" s="43" t="s">
        <v>95</v>
      </c>
      <c r="B19" s="43" t="s">
        <v>169</v>
      </c>
      <c r="C19" s="44" t="s">
        <v>170</v>
      </c>
      <c r="D19" s="45">
        <v>13566</v>
      </c>
      <c r="E19" s="45">
        <v>11150</v>
      </c>
      <c r="F19" s="45">
        <v>11338</v>
      </c>
      <c r="G19" s="45"/>
    </row>
    <row r="20" spans="1:7" x14ac:dyDescent="0.35">
      <c r="A20" s="49" t="s">
        <v>95</v>
      </c>
      <c r="B20" s="43" t="s">
        <v>17</v>
      </c>
      <c r="C20" s="50" t="s">
        <v>191</v>
      </c>
      <c r="D20" s="51" t="s">
        <v>172</v>
      </c>
      <c r="E20" s="51" t="s">
        <v>172</v>
      </c>
      <c r="F20" s="45">
        <v>4681</v>
      </c>
      <c r="G20" s="45"/>
    </row>
    <row r="21" spans="1:7" x14ac:dyDescent="0.35">
      <c r="A21" s="16" t="s">
        <v>83</v>
      </c>
      <c r="B21" s="3" t="s">
        <v>15</v>
      </c>
      <c r="C21" s="8" t="s">
        <v>167</v>
      </c>
      <c r="D21" s="33">
        <v>31292</v>
      </c>
      <c r="E21" s="33">
        <v>34982</v>
      </c>
      <c r="F21" s="10">
        <v>36534</v>
      </c>
      <c r="G21" s="10"/>
    </row>
    <row r="22" spans="1:7" x14ac:dyDescent="0.35">
      <c r="A22" s="16" t="s">
        <v>75</v>
      </c>
      <c r="B22" s="3" t="s">
        <v>18</v>
      </c>
      <c r="C22" s="4" t="s">
        <v>193</v>
      </c>
      <c r="D22" s="10"/>
      <c r="E22" s="10"/>
      <c r="F22" s="10"/>
      <c r="G22" s="10">
        <v>16283</v>
      </c>
    </row>
    <row r="23" spans="1:7" x14ac:dyDescent="0.35">
      <c r="B23" s="20"/>
      <c r="C23" s="29"/>
      <c r="D23" s="58"/>
      <c r="E23" s="58"/>
      <c r="F23" s="59"/>
      <c r="G23" s="59"/>
    </row>
    <row r="24" spans="1:7" x14ac:dyDescent="0.35">
      <c r="B24" s="60"/>
      <c r="C24" s="29"/>
      <c r="D24" s="58"/>
      <c r="E24" s="58"/>
      <c r="F24" s="58"/>
      <c r="G24" s="58"/>
    </row>
    <row r="25" spans="1:7" x14ac:dyDescent="0.35">
      <c r="B25" s="20"/>
      <c r="C25" s="29"/>
      <c r="D25" s="58"/>
      <c r="E25" s="58"/>
      <c r="F25" s="61"/>
      <c r="G25" s="61"/>
    </row>
    <row r="26" spans="1:7" x14ac:dyDescent="0.35">
      <c r="B26" s="20"/>
      <c r="C26" s="21"/>
      <c r="D26" s="59"/>
      <c r="E26" s="59"/>
      <c r="F26" s="59"/>
      <c r="G26" s="59"/>
    </row>
    <row r="27" spans="1:7" x14ac:dyDescent="0.35">
      <c r="B27" s="20"/>
      <c r="C27" s="29"/>
      <c r="D27" s="58"/>
      <c r="E27" s="58"/>
      <c r="F27" s="58"/>
      <c r="G27" s="58"/>
    </row>
    <row r="28" spans="1:7" x14ac:dyDescent="0.35">
      <c r="B28" s="20"/>
      <c r="C28" s="21"/>
      <c r="D28" s="59"/>
      <c r="E28" s="59"/>
      <c r="F28" s="59"/>
      <c r="G28" s="59"/>
    </row>
    <row r="29" spans="1:7" x14ac:dyDescent="0.35">
      <c r="B29" s="20"/>
      <c r="C29" s="29"/>
      <c r="D29" s="58"/>
      <c r="E29" s="58"/>
      <c r="F29" s="58"/>
      <c r="G29" s="58"/>
    </row>
    <row r="30" spans="1:7" x14ac:dyDescent="0.35">
      <c r="B30" s="20"/>
      <c r="C30" s="29"/>
      <c r="D30" s="58"/>
      <c r="E30" s="58"/>
      <c r="F30" s="58"/>
      <c r="G30" s="58"/>
    </row>
    <row r="31" spans="1:7" x14ac:dyDescent="0.35">
      <c r="B31" s="20"/>
      <c r="C31" s="30"/>
      <c r="D31" s="62"/>
      <c r="E31" s="62"/>
      <c r="F31" s="62"/>
      <c r="G31" s="62"/>
    </row>
    <row r="32" spans="1:7" x14ac:dyDescent="0.35">
      <c r="B32" s="20"/>
      <c r="C32" s="29"/>
      <c r="D32" s="58"/>
      <c r="E32" s="58"/>
      <c r="F32" s="58"/>
      <c r="G32" s="58"/>
    </row>
    <row r="33" spans="1:7" x14ac:dyDescent="0.35">
      <c r="B33" s="60"/>
      <c r="C33" s="29"/>
      <c r="D33" s="58"/>
      <c r="E33" s="58"/>
      <c r="F33" s="58"/>
      <c r="G33" s="58"/>
    </row>
    <row r="34" spans="1:7" x14ac:dyDescent="0.35">
      <c r="B34" s="20"/>
      <c r="C34" s="21"/>
      <c r="D34" s="59"/>
      <c r="E34" s="59"/>
      <c r="F34" s="59"/>
      <c r="G34" s="59"/>
    </row>
    <row r="35" spans="1:7" x14ac:dyDescent="0.35">
      <c r="B35" s="60"/>
      <c r="C35" s="29"/>
      <c r="D35" s="58"/>
      <c r="E35" s="58"/>
      <c r="F35" s="58"/>
      <c r="G35" s="58"/>
    </row>
    <row r="36" spans="1:7" x14ac:dyDescent="0.35">
      <c r="B36" s="20"/>
      <c r="C36" s="21"/>
      <c r="D36" s="59"/>
      <c r="E36" s="59"/>
      <c r="F36" s="59"/>
      <c r="G36" s="59"/>
    </row>
    <row r="37" spans="1:7" x14ac:dyDescent="0.35">
      <c r="A37" s="20"/>
      <c r="B37" s="20"/>
      <c r="C37" s="21"/>
      <c r="D37" s="59"/>
      <c r="E37" s="59"/>
      <c r="F37" s="59"/>
      <c r="G37" s="59"/>
    </row>
    <row r="38" spans="1:7" x14ac:dyDescent="0.35">
      <c r="B38" s="20"/>
      <c r="C38" s="30"/>
      <c r="D38" s="62"/>
      <c r="E38" s="62"/>
      <c r="F38" s="59"/>
      <c r="G38" s="59"/>
    </row>
    <row r="39" spans="1:7" x14ac:dyDescent="0.35">
      <c r="B39" s="20"/>
      <c r="C39" s="30"/>
      <c r="D39" s="62"/>
      <c r="E39" s="62"/>
      <c r="F39" s="59"/>
      <c r="G39" s="59"/>
    </row>
    <row r="40" spans="1:7" x14ac:dyDescent="0.35">
      <c r="B40" s="20"/>
      <c r="C40" s="29"/>
      <c r="D40" s="58"/>
      <c r="E40" s="58"/>
      <c r="F40" s="58"/>
      <c r="G40" s="58"/>
    </row>
    <row r="41" spans="1:7" x14ac:dyDescent="0.35">
      <c r="B41" s="20"/>
      <c r="C41" s="63"/>
      <c r="D41" s="59"/>
      <c r="E41" s="59"/>
      <c r="F41" s="59"/>
      <c r="G41" s="59"/>
    </row>
    <row r="42" spans="1:7" x14ac:dyDescent="0.35">
      <c r="B42" s="20"/>
      <c r="C42" s="30"/>
      <c r="D42" s="62"/>
      <c r="E42" s="62"/>
      <c r="F42" s="59"/>
      <c r="G42" s="59"/>
    </row>
    <row r="43" spans="1:7" x14ac:dyDescent="0.35">
      <c r="B43" s="20"/>
      <c r="C43" s="21"/>
      <c r="D43" s="59"/>
      <c r="E43" s="59"/>
      <c r="F43" s="59"/>
      <c r="G43" s="59"/>
    </row>
    <row r="44" spans="1:7" x14ac:dyDescent="0.35">
      <c r="B44" s="20"/>
      <c r="C44" s="29"/>
      <c r="D44" s="58"/>
      <c r="E44" s="58"/>
      <c r="F44" s="58"/>
      <c r="G44" s="58"/>
    </row>
    <row r="45" spans="1:7" x14ac:dyDescent="0.35">
      <c r="B45" s="20"/>
      <c r="C45" s="21"/>
      <c r="D45" s="59"/>
      <c r="E45" s="59"/>
      <c r="F45" s="59"/>
      <c r="G45" s="59"/>
    </row>
    <row r="46" spans="1:7" x14ac:dyDescent="0.35">
      <c r="B46" s="60"/>
      <c r="C46" s="29"/>
      <c r="D46" s="58"/>
      <c r="E46" s="58"/>
      <c r="F46" s="58"/>
      <c r="G46" s="58"/>
    </row>
    <row r="47" spans="1:7" x14ac:dyDescent="0.35">
      <c r="B47" s="60"/>
      <c r="C47" s="29"/>
      <c r="D47" s="58"/>
      <c r="E47" s="58"/>
      <c r="F47" s="58"/>
      <c r="G47" s="58"/>
    </row>
    <row r="48" spans="1:7" x14ac:dyDescent="0.35">
      <c r="B48" s="20"/>
      <c r="C48" s="30"/>
      <c r="D48" s="62"/>
      <c r="E48" s="62"/>
      <c r="F48" s="59"/>
      <c r="G48" s="59"/>
    </row>
    <row r="49" spans="1:10" x14ac:dyDescent="0.35">
      <c r="B49" s="20"/>
      <c r="C49" s="30"/>
      <c r="D49" s="62"/>
      <c r="E49" s="62"/>
      <c r="F49" s="59"/>
      <c r="G49" s="59"/>
    </row>
    <row r="50" spans="1:10" x14ac:dyDescent="0.35">
      <c r="B50" s="20"/>
      <c r="C50" s="30"/>
      <c r="D50" s="62"/>
      <c r="E50" s="62"/>
      <c r="F50" s="59"/>
      <c r="G50" s="59"/>
      <c r="H50" s="21"/>
      <c r="I50" s="21"/>
      <c r="J50" s="21"/>
    </row>
    <row r="51" spans="1:10" x14ac:dyDescent="0.35">
      <c r="B51" s="20"/>
      <c r="C51" s="21"/>
      <c r="D51" s="59"/>
      <c r="E51" s="59"/>
      <c r="F51" s="59"/>
      <c r="G51" s="59"/>
      <c r="H51" s="21"/>
      <c r="I51" s="21"/>
      <c r="J51" s="21"/>
    </row>
    <row r="52" spans="1:10" x14ac:dyDescent="0.35">
      <c r="A52" s="20"/>
      <c r="B52" s="20"/>
      <c r="C52" s="21"/>
      <c r="D52" s="59"/>
      <c r="E52" s="59"/>
      <c r="F52" s="59"/>
      <c r="G52" s="59"/>
      <c r="H52" s="21"/>
      <c r="I52" s="21"/>
      <c r="J52" s="21"/>
    </row>
    <row r="53" spans="1:10" x14ac:dyDescent="0.35">
      <c r="B53" s="60"/>
      <c r="C53" s="29"/>
      <c r="D53" s="58"/>
      <c r="E53" s="58"/>
      <c r="F53" s="58"/>
      <c r="G53" s="58"/>
      <c r="H53" s="21"/>
      <c r="I53" s="21"/>
      <c r="J53" s="21"/>
    </row>
    <row r="54" spans="1:10" x14ac:dyDescent="0.35">
      <c r="B54" s="60"/>
      <c r="C54" s="29"/>
      <c r="D54" s="58"/>
      <c r="E54" s="58"/>
      <c r="F54" s="58"/>
      <c r="G54" s="58"/>
      <c r="H54" s="21"/>
      <c r="I54" s="21"/>
      <c r="J54" s="21"/>
    </row>
    <row r="55" spans="1:10" x14ac:dyDescent="0.35">
      <c r="A55" s="20"/>
      <c r="B55" s="20"/>
      <c r="C55" s="21"/>
      <c r="D55" s="64"/>
      <c r="E55" s="59"/>
      <c r="F55" s="59"/>
      <c r="G55" s="59"/>
      <c r="H55" s="21"/>
      <c r="I55" s="21"/>
      <c r="J55" s="21"/>
    </row>
    <row r="56" spans="1:10" x14ac:dyDescent="0.35">
      <c r="A56" s="20"/>
      <c r="B56" s="20"/>
      <c r="C56" s="21"/>
      <c r="D56" s="22"/>
      <c r="E56" s="23"/>
      <c r="F56" s="23"/>
      <c r="G56" s="23"/>
      <c r="H56" s="21"/>
      <c r="I56" s="21"/>
      <c r="J56" s="21"/>
    </row>
    <row r="57" spans="1:10" x14ac:dyDescent="0.35">
      <c r="A57" s="20"/>
      <c r="B57" s="20"/>
      <c r="C57" s="21"/>
      <c r="D57" s="22"/>
      <c r="E57" s="23"/>
      <c r="F57" s="23"/>
      <c r="G57" s="23"/>
      <c r="H57" s="21"/>
      <c r="I57" s="21"/>
      <c r="J57" s="21"/>
    </row>
    <row r="58" spans="1:10" x14ac:dyDescent="0.35">
      <c r="A58" s="20"/>
      <c r="B58" s="20"/>
      <c r="C58" s="21"/>
      <c r="D58" s="22"/>
      <c r="E58" s="23"/>
      <c r="F58" s="23"/>
      <c r="G58" s="23"/>
      <c r="H58" s="21"/>
      <c r="I58" s="21"/>
      <c r="J58" s="21"/>
    </row>
    <row r="59" spans="1:10" x14ac:dyDescent="0.35">
      <c r="A59" s="20"/>
      <c r="B59" s="20"/>
      <c r="C59" s="21"/>
      <c r="D59" s="22"/>
      <c r="E59" s="23"/>
      <c r="F59" s="23"/>
      <c r="G59" s="23"/>
      <c r="H59" s="21"/>
      <c r="I59" s="21"/>
      <c r="J59" s="21"/>
    </row>
    <row r="60" spans="1:10" x14ac:dyDescent="0.35">
      <c r="A60" s="20"/>
      <c r="B60" s="20"/>
      <c r="C60" s="21"/>
      <c r="D60" s="22"/>
      <c r="E60" s="23"/>
      <c r="F60" s="23"/>
      <c r="G60" s="23"/>
      <c r="H60" s="21"/>
      <c r="I60" s="21"/>
      <c r="J60" s="21"/>
    </row>
    <row r="61" spans="1:10" x14ac:dyDescent="0.35">
      <c r="A61" s="20"/>
      <c r="B61" s="20"/>
      <c r="C61" s="21"/>
      <c r="D61" s="22"/>
      <c r="E61" s="23"/>
      <c r="F61" s="23"/>
      <c r="G61" s="23"/>
      <c r="H61" s="21"/>
      <c r="I61" s="21"/>
      <c r="J61" s="21"/>
    </row>
    <row r="62" spans="1:10" x14ac:dyDescent="0.35">
      <c r="A62" s="20"/>
      <c r="B62" s="20"/>
      <c r="C62" s="21"/>
      <c r="D62" s="22"/>
      <c r="E62" s="23"/>
      <c r="F62" s="23"/>
      <c r="G62" s="23"/>
      <c r="H62" s="21"/>
      <c r="I62" s="21"/>
      <c r="J62" s="21"/>
    </row>
    <row r="63" spans="1:10" x14ac:dyDescent="0.35">
      <c r="A63" s="20"/>
      <c r="B63" s="20"/>
      <c r="C63" s="21"/>
      <c r="D63" s="22"/>
      <c r="E63" s="23"/>
      <c r="F63" s="23"/>
      <c r="G63" s="23"/>
      <c r="H63" s="21"/>
      <c r="I63" s="21"/>
      <c r="J63" s="21"/>
    </row>
    <row r="64" spans="1:10" x14ac:dyDescent="0.35">
      <c r="A64" s="20"/>
      <c r="B64" s="20"/>
      <c r="C64" s="21"/>
      <c r="D64" s="22"/>
      <c r="E64" s="23"/>
      <c r="F64" s="23"/>
      <c r="G64" s="23"/>
      <c r="H64" s="21"/>
      <c r="I64" s="21"/>
      <c r="J64" s="21"/>
    </row>
    <row r="65" spans="1:10" x14ac:dyDescent="0.35">
      <c r="A65" s="20"/>
      <c r="B65" s="20"/>
      <c r="C65" s="21"/>
      <c r="D65" s="22"/>
      <c r="E65" s="23"/>
      <c r="F65" s="23"/>
      <c r="G65" s="23"/>
      <c r="H65" s="21"/>
      <c r="I65" s="21"/>
      <c r="J65" s="21"/>
    </row>
    <row r="66" spans="1:10" x14ac:dyDescent="0.35">
      <c r="A66" s="20"/>
      <c r="B66" s="20"/>
      <c r="C66" s="21"/>
      <c r="D66" s="22"/>
      <c r="E66" s="23"/>
      <c r="F66" s="23"/>
      <c r="G66" s="23"/>
      <c r="H66" s="21"/>
      <c r="I66" s="21"/>
      <c r="J66" s="21"/>
    </row>
    <row r="67" spans="1:10" x14ac:dyDescent="0.35">
      <c r="A67" s="20"/>
      <c r="B67" s="20"/>
      <c r="C67" s="21"/>
      <c r="D67" s="22"/>
      <c r="E67" s="23"/>
      <c r="F67" s="23"/>
      <c r="G67" s="23"/>
      <c r="H67" s="21"/>
      <c r="I67" s="21"/>
      <c r="J67" s="21"/>
    </row>
    <row r="68" spans="1:10" x14ac:dyDescent="0.35">
      <c r="A68" s="20"/>
      <c r="B68" s="20"/>
      <c r="C68" s="21"/>
      <c r="D68" s="22"/>
      <c r="E68" s="23"/>
      <c r="F68" s="23"/>
      <c r="G68" s="23"/>
      <c r="H68" s="21"/>
      <c r="I68" s="21"/>
      <c r="J68" s="21"/>
    </row>
    <row r="69" spans="1:10" x14ac:dyDescent="0.35">
      <c r="A69" s="20"/>
      <c r="B69" s="20"/>
      <c r="C69" s="21"/>
      <c r="D69" s="22"/>
      <c r="E69" s="23"/>
      <c r="F69" s="23"/>
      <c r="G69" s="23"/>
      <c r="H69" s="21"/>
      <c r="I69" s="21"/>
      <c r="J69" s="21"/>
    </row>
    <row r="70" spans="1:10" x14ac:dyDescent="0.35">
      <c r="A70" s="20"/>
      <c r="B70" s="20"/>
      <c r="C70" s="21"/>
      <c r="D70" s="22"/>
      <c r="E70" s="23"/>
      <c r="F70" s="23"/>
      <c r="G70" s="23"/>
      <c r="H70" s="21"/>
      <c r="I70" s="21"/>
      <c r="J70" s="21"/>
    </row>
    <row r="71" spans="1:10" x14ac:dyDescent="0.35">
      <c r="A71" s="20"/>
      <c r="B71" s="20"/>
      <c r="C71" s="21"/>
      <c r="D71" s="22"/>
      <c r="E71" s="23"/>
      <c r="F71" s="23"/>
      <c r="G71" s="23"/>
      <c r="H71" s="21"/>
      <c r="I71" s="21"/>
      <c r="J71" s="21"/>
    </row>
    <row r="72" spans="1:10" x14ac:dyDescent="0.35">
      <c r="A72" s="20"/>
      <c r="B72" s="20"/>
      <c r="C72" s="21"/>
      <c r="D72" s="22"/>
      <c r="E72" s="23"/>
      <c r="F72" s="23"/>
      <c r="G72" s="23"/>
      <c r="H72" s="21"/>
      <c r="I72" s="21"/>
      <c r="J72" s="21"/>
    </row>
    <row r="73" spans="1:10" x14ac:dyDescent="0.35">
      <c r="A73" s="20"/>
      <c r="B73" s="20"/>
      <c r="C73" s="21"/>
      <c r="D73" s="22"/>
      <c r="E73" s="23"/>
      <c r="F73" s="23"/>
      <c r="G73" s="23"/>
      <c r="H73" s="21"/>
      <c r="I73" s="21"/>
      <c r="J73" s="21"/>
    </row>
    <row r="74" spans="1:10" x14ac:dyDescent="0.35">
      <c r="A74" s="20"/>
      <c r="B74" s="20"/>
      <c r="C74" s="21"/>
      <c r="D74" s="22"/>
      <c r="E74" s="23"/>
      <c r="F74" s="23"/>
      <c r="G74" s="23"/>
      <c r="H74" s="21"/>
      <c r="I74" s="21"/>
      <c r="J74" s="21"/>
    </row>
    <row r="75" spans="1:10" x14ac:dyDescent="0.35">
      <c r="A75" s="20"/>
      <c r="B75" s="20"/>
      <c r="C75" s="21"/>
      <c r="D75" s="22"/>
      <c r="E75" s="23"/>
      <c r="F75" s="23"/>
      <c r="G75" s="23"/>
      <c r="H75" s="21"/>
      <c r="I75" s="21"/>
      <c r="J75" s="21"/>
    </row>
    <row r="76" spans="1:10" x14ac:dyDescent="0.35">
      <c r="A76" s="20"/>
      <c r="B76" s="20"/>
      <c r="C76" s="21"/>
      <c r="D76" s="22"/>
      <c r="E76" s="23"/>
      <c r="F76" s="23"/>
      <c r="G76" s="23"/>
      <c r="H76" s="21"/>
      <c r="I76" s="21"/>
      <c r="J76" s="21"/>
    </row>
    <row r="77" spans="1:10" x14ac:dyDescent="0.35">
      <c r="A77" s="20"/>
      <c r="B77" s="20"/>
      <c r="C77" s="21"/>
      <c r="D77" s="22"/>
      <c r="E77" s="23"/>
      <c r="F77" s="23"/>
      <c r="G77" s="23"/>
      <c r="H77" s="21"/>
      <c r="I77" s="21"/>
      <c r="J77" s="21"/>
    </row>
    <row r="78" spans="1:10" x14ac:dyDescent="0.35">
      <c r="A78" s="20"/>
      <c r="B78" s="20"/>
      <c r="C78" s="21"/>
      <c r="D78" s="22"/>
      <c r="E78" s="23"/>
      <c r="F78" s="23"/>
      <c r="G78" s="23"/>
      <c r="H78" s="21"/>
      <c r="I78" s="21"/>
      <c r="J78" s="21"/>
    </row>
    <row r="79" spans="1:10" x14ac:dyDescent="0.35">
      <c r="A79" s="20"/>
      <c r="B79" s="20"/>
      <c r="C79" s="21"/>
      <c r="D79" s="22"/>
      <c r="E79" s="23"/>
      <c r="F79" s="23"/>
      <c r="G79" s="23"/>
      <c r="H79" s="21"/>
      <c r="I79" s="21"/>
      <c r="J79" s="21"/>
    </row>
    <row r="80" spans="1:10" x14ac:dyDescent="0.35">
      <c r="A80" s="20"/>
      <c r="B80" s="20"/>
      <c r="C80" s="21"/>
      <c r="D80" s="22"/>
      <c r="E80" s="23"/>
      <c r="F80" s="23"/>
      <c r="G80" s="23"/>
      <c r="H80" s="21"/>
      <c r="I80" s="21"/>
      <c r="J80" s="21"/>
    </row>
    <row r="81" spans="1:10" x14ac:dyDescent="0.35">
      <c r="A81" s="20"/>
      <c r="B81" s="20"/>
      <c r="C81" s="21"/>
      <c r="D81" s="22"/>
      <c r="E81" s="23"/>
      <c r="F81" s="23"/>
      <c r="G81" s="23"/>
      <c r="H81" s="21"/>
      <c r="I81" s="21"/>
      <c r="J81" s="21"/>
    </row>
    <row r="82" spans="1:10" x14ac:dyDescent="0.35">
      <c r="A82" s="20"/>
      <c r="B82" s="20"/>
      <c r="C82" s="21"/>
      <c r="D82" s="22"/>
      <c r="E82" s="23"/>
      <c r="F82" s="23"/>
      <c r="G82" s="23"/>
      <c r="H82" s="21"/>
      <c r="I82" s="21"/>
      <c r="J82" s="21"/>
    </row>
    <row r="83" spans="1:10" x14ac:dyDescent="0.35">
      <c r="A83" s="20"/>
      <c r="B83" s="20"/>
      <c r="C83" s="21"/>
      <c r="D83" s="22"/>
      <c r="E83" s="23"/>
      <c r="F83" s="23"/>
      <c r="G83" s="23"/>
      <c r="H83" s="21"/>
      <c r="I83" s="21"/>
      <c r="J83" s="21"/>
    </row>
    <row r="84" spans="1:10" x14ac:dyDescent="0.35">
      <c r="A84" s="20"/>
      <c r="B84" s="20"/>
      <c r="C84" s="21"/>
      <c r="D84" s="22"/>
      <c r="E84" s="23"/>
      <c r="F84" s="23"/>
      <c r="G84" s="23"/>
      <c r="H84" s="21"/>
      <c r="I84" s="21"/>
      <c r="J84" s="21"/>
    </row>
    <row r="85" spans="1:10" x14ac:dyDescent="0.35">
      <c r="A85" s="20"/>
      <c r="B85" s="20"/>
      <c r="C85" s="21"/>
      <c r="D85" s="22"/>
      <c r="E85" s="23"/>
      <c r="F85" s="23"/>
      <c r="G85" s="23"/>
      <c r="H85" s="21"/>
      <c r="I85" s="21"/>
      <c r="J85" s="21"/>
    </row>
    <row r="86" spans="1:10" x14ac:dyDescent="0.35">
      <c r="A86" s="20"/>
      <c r="B86" s="20"/>
      <c r="C86" s="21"/>
      <c r="D86" s="22"/>
      <c r="E86" s="23"/>
      <c r="F86" s="23"/>
      <c r="G86" s="23"/>
      <c r="H86" s="21"/>
      <c r="I86" s="21"/>
      <c r="J86" s="21"/>
    </row>
    <row r="87" spans="1:10" x14ac:dyDescent="0.35">
      <c r="A87" s="20"/>
      <c r="B87" s="20"/>
      <c r="C87" s="21"/>
      <c r="D87" s="22"/>
      <c r="E87" s="23"/>
      <c r="F87" s="23"/>
      <c r="G87" s="23"/>
      <c r="H87" s="21"/>
      <c r="I87" s="21"/>
      <c r="J87" s="21"/>
    </row>
    <row r="88" spans="1:10" x14ac:dyDescent="0.35">
      <c r="A88" s="20"/>
      <c r="B88" s="20"/>
      <c r="C88" s="21"/>
      <c r="D88" s="22"/>
      <c r="E88" s="23"/>
      <c r="F88" s="23"/>
      <c r="G88" s="23"/>
      <c r="H88" s="21"/>
      <c r="I88" s="21"/>
      <c r="J88" s="21"/>
    </row>
    <row r="89" spans="1:10" x14ac:dyDescent="0.35">
      <c r="A89" s="20"/>
      <c r="B89" s="20"/>
      <c r="C89" s="21"/>
      <c r="D89" s="22"/>
      <c r="E89" s="23"/>
      <c r="F89" s="23"/>
      <c r="G89" s="23"/>
      <c r="H89" s="21"/>
      <c r="I89" s="21"/>
      <c r="J89" s="21"/>
    </row>
    <row r="90" spans="1:10" x14ac:dyDescent="0.35">
      <c r="A90" s="20"/>
      <c r="B90" s="20"/>
      <c r="C90" s="21"/>
      <c r="D90" s="22"/>
      <c r="E90" s="23"/>
      <c r="F90" s="23"/>
      <c r="G90" s="23"/>
      <c r="H90" s="21"/>
      <c r="I90" s="21"/>
      <c r="J90" s="21"/>
    </row>
    <row r="91" spans="1:10" x14ac:dyDescent="0.35">
      <c r="A91" s="20"/>
      <c r="B91" s="20"/>
      <c r="C91" s="21"/>
      <c r="D91" s="22"/>
      <c r="E91" s="23"/>
      <c r="F91" s="23"/>
      <c r="G91" s="23"/>
      <c r="H91" s="21"/>
      <c r="I91" s="21"/>
      <c r="J91" s="21"/>
    </row>
    <row r="92" spans="1:10" x14ac:dyDescent="0.35">
      <c r="A92" s="20"/>
      <c r="B92" s="20"/>
      <c r="C92" s="21"/>
      <c r="D92" s="22"/>
      <c r="E92" s="23"/>
      <c r="F92" s="23"/>
      <c r="G92" s="23"/>
      <c r="H92" s="21"/>
      <c r="I92" s="21"/>
      <c r="J92" s="21"/>
    </row>
    <row r="93" spans="1:10" x14ac:dyDescent="0.35">
      <c r="A93" s="20"/>
      <c r="B93" s="20"/>
      <c r="C93" s="21"/>
      <c r="D93" s="22"/>
      <c r="E93" s="23"/>
      <c r="F93" s="23"/>
      <c r="G93" s="23"/>
      <c r="H93" s="21"/>
      <c r="I93" s="21"/>
      <c r="J93" s="21"/>
    </row>
    <row r="94" spans="1:10" x14ac:dyDescent="0.35">
      <c r="A94" s="20"/>
      <c r="B94" s="20"/>
      <c r="C94" s="21"/>
      <c r="D94" s="22"/>
      <c r="E94" s="23"/>
      <c r="F94" s="23"/>
      <c r="G94" s="23"/>
      <c r="H94" s="21"/>
      <c r="I94" s="21"/>
      <c r="J94" s="21"/>
    </row>
    <row r="95" spans="1:10" x14ac:dyDescent="0.35">
      <c r="A95" s="20"/>
      <c r="B95" s="20"/>
      <c r="C95" s="21"/>
      <c r="D95" s="22"/>
      <c r="E95" s="23"/>
      <c r="F95" s="23"/>
      <c r="G95" s="23"/>
      <c r="H95" s="21"/>
      <c r="I95" s="21"/>
      <c r="J95" s="21"/>
    </row>
    <row r="96" spans="1:10" x14ac:dyDescent="0.35">
      <c r="A96" s="20"/>
      <c r="B96" s="20"/>
      <c r="C96" s="21"/>
      <c r="D96" s="22"/>
      <c r="E96" s="23"/>
      <c r="F96" s="23"/>
      <c r="G96" s="23"/>
      <c r="H96" s="21"/>
      <c r="I96" s="21"/>
      <c r="J96" s="21"/>
    </row>
    <row r="97" spans="1:10" x14ac:dyDescent="0.35">
      <c r="A97" s="20"/>
      <c r="B97" s="20"/>
      <c r="C97" s="21"/>
      <c r="D97" s="22"/>
      <c r="E97" s="23"/>
      <c r="F97" s="23"/>
      <c r="G97" s="23"/>
      <c r="H97" s="21"/>
      <c r="I97" s="21"/>
      <c r="J97" s="21"/>
    </row>
    <row r="98" spans="1:10" x14ac:dyDescent="0.35">
      <c r="A98" s="20"/>
      <c r="B98" s="20"/>
      <c r="C98" s="21"/>
      <c r="D98" s="22"/>
      <c r="E98" s="23"/>
      <c r="F98" s="23"/>
      <c r="G98" s="23"/>
      <c r="H98" s="21"/>
      <c r="I98" s="21"/>
      <c r="J98" s="21"/>
    </row>
    <row r="99" spans="1:10" x14ac:dyDescent="0.35">
      <c r="A99" s="20"/>
      <c r="B99" s="20"/>
      <c r="C99" s="21"/>
      <c r="D99" s="22"/>
      <c r="E99" s="23"/>
      <c r="F99" s="23"/>
      <c r="G99" s="23"/>
      <c r="H99" s="21"/>
      <c r="I99" s="21"/>
      <c r="J99" s="21"/>
    </row>
    <row r="100" spans="1:10" x14ac:dyDescent="0.35">
      <c r="A100" s="20"/>
      <c r="B100" s="20"/>
      <c r="C100" s="21"/>
      <c r="D100" s="22"/>
      <c r="E100" s="23"/>
      <c r="F100" s="23"/>
      <c r="G100" s="23"/>
      <c r="H100" s="21"/>
      <c r="I100" s="21"/>
      <c r="J100" s="21"/>
    </row>
    <row r="101" spans="1:10" x14ac:dyDescent="0.35">
      <c r="A101" s="20"/>
      <c r="B101" s="20"/>
      <c r="C101" s="21"/>
      <c r="D101" s="22"/>
      <c r="E101" s="23"/>
      <c r="F101" s="23"/>
      <c r="G101" s="23"/>
      <c r="H101" s="21"/>
      <c r="I101" s="21"/>
      <c r="J101" s="21"/>
    </row>
    <row r="102" spans="1:10" x14ac:dyDescent="0.35">
      <c r="A102" s="20"/>
      <c r="B102" s="20"/>
      <c r="C102" s="21"/>
      <c r="D102" s="22"/>
      <c r="E102" s="23"/>
      <c r="F102" s="23"/>
      <c r="G102" s="23"/>
      <c r="H102" s="21"/>
      <c r="I102" s="21"/>
      <c r="J102" s="21"/>
    </row>
    <row r="103" spans="1:10" x14ac:dyDescent="0.35">
      <c r="A103" s="20"/>
      <c r="B103" s="20"/>
      <c r="C103" s="21"/>
      <c r="D103" s="22"/>
      <c r="E103" s="23"/>
      <c r="F103" s="23"/>
      <c r="G103" s="23"/>
      <c r="H103" s="21"/>
      <c r="I103" s="21"/>
      <c r="J103" s="21"/>
    </row>
    <row r="104" spans="1:10" x14ac:dyDescent="0.35">
      <c r="A104" s="20"/>
      <c r="B104" s="20"/>
      <c r="C104" s="21"/>
      <c r="D104" s="22"/>
      <c r="E104" s="23"/>
      <c r="F104" s="23"/>
      <c r="G104" s="23"/>
      <c r="H104" s="21"/>
      <c r="I104" s="21"/>
      <c r="J104" s="21"/>
    </row>
    <row r="105" spans="1:10" x14ac:dyDescent="0.35">
      <c r="A105" s="20"/>
      <c r="B105" s="20"/>
      <c r="C105" s="21"/>
      <c r="D105" s="22"/>
      <c r="E105" s="23"/>
      <c r="F105" s="23"/>
      <c r="G105" s="23"/>
      <c r="H105" s="21"/>
      <c r="I105" s="21"/>
      <c r="J105" s="21"/>
    </row>
    <row r="106" spans="1:10" x14ac:dyDescent="0.35">
      <c r="A106" s="20"/>
      <c r="B106" s="20"/>
      <c r="C106" s="21"/>
      <c r="D106" s="22"/>
      <c r="E106" s="23"/>
      <c r="F106" s="23"/>
      <c r="G106" s="23"/>
      <c r="H106" s="21"/>
      <c r="I106" s="21"/>
      <c r="J106" s="21"/>
    </row>
    <row r="107" spans="1:10" x14ac:dyDescent="0.35">
      <c r="A107" s="20"/>
      <c r="B107" s="20"/>
      <c r="C107" s="21"/>
      <c r="D107" s="22"/>
      <c r="E107" s="23"/>
      <c r="F107" s="23"/>
      <c r="G107" s="23"/>
      <c r="H107" s="21"/>
      <c r="I107" s="21"/>
      <c r="J107" s="21"/>
    </row>
    <row r="108" spans="1:10" x14ac:dyDescent="0.35">
      <c r="A108" s="20"/>
      <c r="B108" s="20"/>
      <c r="C108" s="21"/>
      <c r="D108" s="22"/>
      <c r="E108" s="23"/>
      <c r="F108" s="23"/>
      <c r="G108" s="23"/>
      <c r="H108" s="21"/>
      <c r="I108" s="21"/>
      <c r="J108" s="21"/>
    </row>
    <row r="109" spans="1:10" x14ac:dyDescent="0.35">
      <c r="A109" s="20"/>
      <c r="B109" s="20"/>
      <c r="C109" s="21"/>
      <c r="D109" s="22"/>
      <c r="E109" s="23"/>
      <c r="F109" s="23"/>
      <c r="G109" s="23"/>
      <c r="H109" s="21"/>
      <c r="I109" s="21"/>
      <c r="J109" s="21"/>
    </row>
    <row r="110" spans="1:10" x14ac:dyDescent="0.35">
      <c r="A110" s="20"/>
      <c r="B110" s="20"/>
      <c r="C110" s="21"/>
      <c r="D110" s="22"/>
      <c r="E110" s="23"/>
      <c r="F110" s="23"/>
      <c r="G110" s="23"/>
      <c r="H110" s="21"/>
      <c r="I110" s="21"/>
      <c r="J110" s="21"/>
    </row>
    <row r="111" spans="1:10" x14ac:dyDescent="0.35">
      <c r="A111" s="20"/>
      <c r="B111" s="20"/>
      <c r="C111" s="21"/>
      <c r="D111" s="22"/>
      <c r="E111" s="23"/>
      <c r="F111" s="23"/>
      <c r="G111" s="23"/>
      <c r="H111" s="21"/>
      <c r="I111" s="21"/>
      <c r="J111" s="21"/>
    </row>
    <row r="112" spans="1:10" x14ac:dyDescent="0.35">
      <c r="A112" s="20"/>
      <c r="B112" s="20"/>
      <c r="C112" s="21"/>
      <c r="D112" s="22"/>
      <c r="E112" s="23"/>
      <c r="F112" s="23"/>
      <c r="G112" s="23"/>
      <c r="H112" s="21"/>
      <c r="I112" s="21"/>
      <c r="J112" s="21"/>
    </row>
    <row r="113" spans="1:10" x14ac:dyDescent="0.35">
      <c r="A113" s="20"/>
      <c r="B113" s="20"/>
      <c r="C113" s="21"/>
      <c r="D113" s="22"/>
      <c r="E113" s="23"/>
      <c r="F113" s="23"/>
      <c r="G113" s="23"/>
      <c r="H113" s="21"/>
      <c r="I113" s="21"/>
      <c r="J113" s="21"/>
    </row>
    <row r="114" spans="1:10" x14ac:dyDescent="0.35">
      <c r="A114" s="20"/>
      <c r="B114" s="20"/>
      <c r="C114" s="21"/>
      <c r="D114" s="22"/>
      <c r="E114" s="23"/>
      <c r="F114" s="23"/>
      <c r="G114" s="23"/>
      <c r="H114" s="21"/>
      <c r="I114" s="21"/>
      <c r="J114" s="21"/>
    </row>
    <row r="115" spans="1:10" x14ac:dyDescent="0.35">
      <c r="A115" s="20"/>
      <c r="B115" s="20"/>
      <c r="C115" s="21"/>
      <c r="D115" s="22"/>
      <c r="E115" s="23"/>
      <c r="F115" s="23"/>
      <c r="G115" s="23"/>
      <c r="H115" s="21"/>
      <c r="I115" s="21"/>
      <c r="J115" s="21"/>
    </row>
    <row r="116" spans="1:10" x14ac:dyDescent="0.35">
      <c r="A116" s="20"/>
      <c r="B116" s="20"/>
      <c r="C116" s="21"/>
      <c r="D116" s="22"/>
      <c r="E116" s="23"/>
      <c r="F116" s="23"/>
      <c r="G116" s="23"/>
      <c r="H116" s="21"/>
      <c r="I116" s="21"/>
      <c r="J116" s="21"/>
    </row>
    <row r="117" spans="1:10" x14ac:dyDescent="0.35">
      <c r="A117" s="20"/>
      <c r="B117" s="20"/>
      <c r="C117" s="21"/>
      <c r="D117" s="22"/>
      <c r="E117" s="23"/>
      <c r="F117" s="23"/>
      <c r="G117" s="23"/>
      <c r="H117" s="21"/>
      <c r="I117" s="21"/>
      <c r="J117" s="21"/>
    </row>
    <row r="118" spans="1:10" x14ac:dyDescent="0.35">
      <c r="A118" s="20"/>
      <c r="B118" s="20"/>
      <c r="C118" s="21"/>
      <c r="D118" s="22"/>
      <c r="E118" s="23"/>
      <c r="F118" s="23"/>
      <c r="G118" s="23"/>
      <c r="H118" s="21"/>
      <c r="I118" s="21"/>
      <c r="J118" s="21"/>
    </row>
    <row r="119" spans="1:10" x14ac:dyDescent="0.35">
      <c r="A119" s="20"/>
      <c r="B119" s="20"/>
      <c r="C119" s="21"/>
      <c r="D119" s="22"/>
      <c r="E119" s="23"/>
      <c r="F119" s="23"/>
      <c r="G119" s="23"/>
      <c r="H119" s="21"/>
      <c r="I119" s="21"/>
      <c r="J119" s="21"/>
    </row>
    <row r="120" spans="1:10" x14ac:dyDescent="0.35">
      <c r="A120" s="20"/>
      <c r="B120" s="20"/>
      <c r="C120" s="21"/>
      <c r="D120" s="22"/>
      <c r="E120" s="23"/>
      <c r="F120" s="23"/>
      <c r="G120" s="23"/>
      <c r="H120" s="21"/>
      <c r="I120" s="21"/>
      <c r="J120" s="21"/>
    </row>
    <row r="121" spans="1:10" x14ac:dyDescent="0.35">
      <c r="A121" s="20"/>
      <c r="B121" s="20"/>
      <c r="C121" s="21"/>
      <c r="D121" s="22"/>
      <c r="E121" s="23"/>
      <c r="F121" s="23"/>
      <c r="G121" s="23"/>
      <c r="H121" s="21"/>
      <c r="I121" s="21"/>
      <c r="J121" s="21"/>
    </row>
    <row r="122" spans="1:10" x14ac:dyDescent="0.35">
      <c r="A122" s="20"/>
      <c r="B122" s="20"/>
      <c r="C122" s="21"/>
      <c r="D122" s="22"/>
      <c r="E122" s="23"/>
      <c r="F122" s="23"/>
      <c r="G122" s="23"/>
      <c r="H122" s="21"/>
      <c r="I122" s="21"/>
      <c r="J122" s="21"/>
    </row>
    <row r="123" spans="1:10" x14ac:dyDescent="0.35">
      <c r="A123" s="20"/>
      <c r="B123" s="20"/>
      <c r="C123" s="21"/>
      <c r="D123" s="22"/>
      <c r="E123" s="23"/>
      <c r="F123" s="23"/>
      <c r="G123" s="23"/>
      <c r="H123" s="21"/>
      <c r="I123" s="21"/>
      <c r="J123" s="21"/>
    </row>
    <row r="124" spans="1:10" x14ac:dyDescent="0.35">
      <c r="A124" s="20"/>
      <c r="B124" s="20"/>
      <c r="C124" s="21"/>
      <c r="D124" s="22"/>
      <c r="E124" s="23"/>
      <c r="F124" s="23"/>
      <c r="G124" s="23"/>
      <c r="H124" s="21"/>
      <c r="I124" s="21"/>
      <c r="J124" s="21"/>
    </row>
    <row r="125" spans="1:10" x14ac:dyDescent="0.35">
      <c r="A125" s="20"/>
      <c r="B125" s="20"/>
      <c r="C125" s="21"/>
      <c r="D125" s="22"/>
      <c r="E125" s="23"/>
      <c r="F125" s="23"/>
      <c r="G125" s="23"/>
      <c r="H125" s="21"/>
      <c r="I125" s="21"/>
      <c r="J125" s="21"/>
    </row>
    <row r="126" spans="1:10" x14ac:dyDescent="0.35">
      <c r="A126" s="20"/>
      <c r="B126" s="20"/>
      <c r="C126" s="21"/>
      <c r="D126" s="22"/>
      <c r="E126" s="23"/>
      <c r="F126" s="23"/>
      <c r="G126" s="23"/>
      <c r="H126" s="21"/>
      <c r="I126" s="21"/>
      <c r="J126" s="21"/>
    </row>
    <row r="127" spans="1:10" x14ac:dyDescent="0.35">
      <c r="A127" s="20"/>
      <c r="B127" s="20"/>
      <c r="C127" s="21"/>
      <c r="D127" s="22"/>
      <c r="E127" s="23"/>
      <c r="F127" s="23"/>
      <c r="G127" s="23"/>
      <c r="H127" s="21"/>
      <c r="I127" s="21"/>
      <c r="J127" s="21"/>
    </row>
    <row r="128" spans="1:10" x14ac:dyDescent="0.35">
      <c r="A128" s="20"/>
      <c r="B128" s="20"/>
      <c r="C128" s="21"/>
      <c r="D128" s="22"/>
      <c r="E128" s="23"/>
      <c r="F128" s="23"/>
      <c r="G128" s="23"/>
      <c r="H128" s="21"/>
      <c r="I128" s="21"/>
      <c r="J128" s="21"/>
    </row>
  </sheetData>
  <autoFilter ref="A1:G1" xr:uid="{29B38C84-3227-4A80-8AF0-36625566A7B7}">
    <sortState xmlns:xlrd2="http://schemas.microsoft.com/office/spreadsheetml/2017/richdata2" ref="A2:G21">
      <sortCondition ref="A2:A21" customList="janvier,février,mars,avril,mai,juin,juillet,août,septembre,octobre,novembre,décembre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C84-3227-4A80-8AF0-36625566A7B7}">
  <dimension ref="A1:J128"/>
  <sheetViews>
    <sheetView workbookViewId="0">
      <selection activeCell="G24" sqref="G24"/>
    </sheetView>
  </sheetViews>
  <sheetFormatPr baseColWidth="10" defaultRowHeight="14.5" x14ac:dyDescent="0.35"/>
  <cols>
    <col min="1" max="1" width="12" style="17" customWidth="1"/>
    <col min="2" max="2" width="17.08984375" style="14" bestFit="1" customWidth="1"/>
    <col min="3" max="3" width="48.1796875" bestFit="1" customWidth="1"/>
    <col min="4" max="4" width="11" style="18" customWidth="1"/>
    <col min="5" max="6" width="11" style="24" customWidth="1"/>
    <col min="7" max="7" width="11.08984375" style="24" customWidth="1"/>
  </cols>
  <sheetData>
    <row r="1" spans="1:7" x14ac:dyDescent="0.35">
      <c r="A1" s="15" t="s">
        <v>74</v>
      </c>
      <c r="B1" s="1" t="s">
        <v>0</v>
      </c>
      <c r="C1" s="2" t="s">
        <v>1</v>
      </c>
      <c r="D1" s="2">
        <v>2023</v>
      </c>
      <c r="E1" s="2">
        <v>2024</v>
      </c>
      <c r="F1" s="13">
        <v>2025</v>
      </c>
      <c r="G1" s="13">
        <v>2026</v>
      </c>
    </row>
    <row r="2" spans="1:7" x14ac:dyDescent="0.35">
      <c r="A2" s="16" t="s">
        <v>76</v>
      </c>
      <c r="B2" s="35" t="s">
        <v>12</v>
      </c>
      <c r="C2" s="34" t="s">
        <v>52</v>
      </c>
      <c r="D2" s="37"/>
      <c r="E2" s="11"/>
      <c r="F2" s="36">
        <v>22872</v>
      </c>
      <c r="G2" s="37"/>
    </row>
    <row r="3" spans="1:7" x14ac:dyDescent="0.35">
      <c r="A3" s="16" t="s">
        <v>76</v>
      </c>
      <c r="B3" s="9" t="s">
        <v>28</v>
      </c>
      <c r="C3" s="6" t="s">
        <v>64</v>
      </c>
      <c r="D3" s="11"/>
      <c r="E3" s="11">
        <v>13715</v>
      </c>
      <c r="F3" s="32">
        <v>14479</v>
      </c>
      <c r="G3" s="7">
        <v>14294</v>
      </c>
    </row>
    <row r="4" spans="1:7" x14ac:dyDescent="0.35">
      <c r="A4" s="16" t="s">
        <v>76</v>
      </c>
      <c r="B4" s="3" t="s">
        <v>30</v>
      </c>
      <c r="C4" s="8" t="s">
        <v>66</v>
      </c>
      <c r="D4" s="33"/>
      <c r="E4" s="33">
        <v>12135</v>
      </c>
      <c r="F4" s="31">
        <v>13684</v>
      </c>
      <c r="G4" s="5">
        <v>16741</v>
      </c>
    </row>
    <row r="5" spans="1:7" x14ac:dyDescent="0.35">
      <c r="A5" s="3" t="s">
        <v>76</v>
      </c>
      <c r="B5" s="3" t="s">
        <v>25</v>
      </c>
      <c r="C5" s="6" t="s">
        <v>78</v>
      </c>
      <c r="D5" s="28"/>
      <c r="E5" s="28"/>
      <c r="F5" s="31">
        <v>13416</v>
      </c>
      <c r="G5" s="5">
        <v>16281</v>
      </c>
    </row>
    <row r="6" spans="1:7" x14ac:dyDescent="0.35">
      <c r="A6" s="3" t="s">
        <v>76</v>
      </c>
      <c r="B6" s="9" t="s">
        <v>79</v>
      </c>
      <c r="C6" s="6" t="s">
        <v>106</v>
      </c>
      <c r="D6" s="28"/>
      <c r="E6" s="28"/>
      <c r="F6" s="31">
        <f>11369+84</f>
        <v>11453</v>
      </c>
      <c r="G6" s="5">
        <f>12623+111</f>
        <v>12734</v>
      </c>
    </row>
    <row r="7" spans="1:7" x14ac:dyDescent="0.35">
      <c r="A7" s="3" t="s">
        <v>76</v>
      </c>
      <c r="B7" s="3" t="s">
        <v>80</v>
      </c>
      <c r="C7" s="4" t="s">
        <v>107</v>
      </c>
      <c r="D7" s="10">
        <v>288</v>
      </c>
      <c r="E7" s="10">
        <v>499</v>
      </c>
      <c r="F7" s="31">
        <v>3640</v>
      </c>
      <c r="G7" s="5">
        <v>5945</v>
      </c>
    </row>
    <row r="8" spans="1:7" x14ac:dyDescent="0.35">
      <c r="A8" s="16" t="s">
        <v>77</v>
      </c>
      <c r="B8" s="3" t="s">
        <v>9</v>
      </c>
      <c r="C8" s="8" t="s">
        <v>48</v>
      </c>
      <c r="D8" s="33">
        <v>17624</v>
      </c>
      <c r="E8" s="33">
        <v>24104</v>
      </c>
      <c r="F8" s="31">
        <v>26961</v>
      </c>
      <c r="G8" s="5">
        <v>31103</v>
      </c>
    </row>
    <row r="9" spans="1:7" x14ac:dyDescent="0.35">
      <c r="A9" s="16" t="s">
        <v>77</v>
      </c>
      <c r="B9" s="3" t="s">
        <v>35</v>
      </c>
      <c r="C9" s="4" t="s">
        <v>88</v>
      </c>
      <c r="D9" s="10">
        <v>11865</v>
      </c>
      <c r="E9" s="10">
        <v>11959</v>
      </c>
      <c r="F9" s="31">
        <v>11949</v>
      </c>
      <c r="G9" s="5">
        <v>12077</v>
      </c>
    </row>
    <row r="10" spans="1:7" x14ac:dyDescent="0.35">
      <c r="A10" s="3" t="s">
        <v>77</v>
      </c>
      <c r="B10" s="3" t="s">
        <v>132</v>
      </c>
      <c r="C10" s="4" t="s">
        <v>133</v>
      </c>
      <c r="D10" s="42"/>
      <c r="E10" s="10">
        <v>2942</v>
      </c>
      <c r="F10" s="31">
        <v>7917</v>
      </c>
      <c r="G10" s="5">
        <v>11247</v>
      </c>
    </row>
    <row r="11" spans="1:7" x14ac:dyDescent="0.35">
      <c r="A11" s="3" t="s">
        <v>77</v>
      </c>
      <c r="B11" s="3" t="s">
        <v>81</v>
      </c>
      <c r="C11" s="4" t="s">
        <v>82</v>
      </c>
      <c r="D11" s="10"/>
      <c r="E11" s="10"/>
      <c r="F11" s="31">
        <v>5732</v>
      </c>
      <c r="G11" s="5">
        <v>7774</v>
      </c>
    </row>
    <row r="12" spans="1:7" x14ac:dyDescent="0.35">
      <c r="A12" s="3" t="s">
        <v>77</v>
      </c>
      <c r="B12" s="3" t="s">
        <v>138</v>
      </c>
      <c r="C12" s="4" t="s">
        <v>139</v>
      </c>
      <c r="D12" s="19"/>
      <c r="E12" s="10"/>
      <c r="F12" s="31"/>
      <c r="G12" s="5">
        <v>9638</v>
      </c>
    </row>
    <row r="13" spans="1:7" x14ac:dyDescent="0.35">
      <c r="A13" s="49" t="s">
        <v>75</v>
      </c>
      <c r="B13" s="43" t="s">
        <v>2</v>
      </c>
      <c r="C13" s="50" t="s">
        <v>164</v>
      </c>
      <c r="D13" s="51">
        <v>45387</v>
      </c>
      <c r="E13" s="51">
        <v>47856</v>
      </c>
      <c r="F13" s="71">
        <v>47633</v>
      </c>
      <c r="G13" s="72">
        <v>49234</v>
      </c>
    </row>
    <row r="14" spans="1:7" x14ac:dyDescent="0.35">
      <c r="A14" s="16" t="s">
        <v>75</v>
      </c>
      <c r="B14" s="3" t="s">
        <v>7</v>
      </c>
      <c r="C14" s="8" t="s">
        <v>44</v>
      </c>
      <c r="D14" s="33">
        <v>26104</v>
      </c>
      <c r="E14" s="33">
        <v>30904</v>
      </c>
      <c r="F14" s="31">
        <v>34742</v>
      </c>
      <c r="G14" s="5"/>
    </row>
    <row r="15" spans="1:7" x14ac:dyDescent="0.35">
      <c r="A15" s="16" t="s">
        <v>75</v>
      </c>
      <c r="B15" s="3" t="s">
        <v>8</v>
      </c>
      <c r="C15" s="8" t="s">
        <v>46</v>
      </c>
      <c r="D15" s="33"/>
      <c r="E15" s="33"/>
      <c r="F15" s="31">
        <v>28677</v>
      </c>
      <c r="G15" s="5">
        <v>30228</v>
      </c>
    </row>
    <row r="16" spans="1:7" x14ac:dyDescent="0.35">
      <c r="A16" s="16" t="s">
        <v>75</v>
      </c>
      <c r="B16" s="3" t="s">
        <v>15</v>
      </c>
      <c r="C16" s="4" t="s">
        <v>54</v>
      </c>
      <c r="D16" s="10"/>
      <c r="E16" s="10"/>
      <c r="F16" s="31">
        <v>20918</v>
      </c>
      <c r="G16" s="5"/>
    </row>
    <row r="17" spans="1:7" x14ac:dyDescent="0.35">
      <c r="A17" s="16" t="s">
        <v>75</v>
      </c>
      <c r="B17" s="9" t="s">
        <v>18</v>
      </c>
      <c r="C17" s="6" t="s">
        <v>194</v>
      </c>
      <c r="D17" s="11"/>
      <c r="E17" s="11"/>
      <c r="F17" s="11">
        <v>19624</v>
      </c>
      <c r="G17" s="11">
        <v>25537</v>
      </c>
    </row>
    <row r="18" spans="1:7" x14ac:dyDescent="0.35">
      <c r="A18" s="16" t="s">
        <v>75</v>
      </c>
      <c r="B18" s="3" t="s">
        <v>22</v>
      </c>
      <c r="C18" s="8" t="s">
        <v>57</v>
      </c>
      <c r="D18" s="33"/>
      <c r="E18" s="33">
        <v>13245</v>
      </c>
      <c r="F18" s="10">
        <v>17675</v>
      </c>
      <c r="G18" s="10">
        <v>15961</v>
      </c>
    </row>
    <row r="19" spans="1:7" x14ac:dyDescent="0.35">
      <c r="A19" s="16" t="s">
        <v>75</v>
      </c>
      <c r="B19" s="3" t="s">
        <v>25</v>
      </c>
      <c r="C19" s="6" t="s">
        <v>61</v>
      </c>
      <c r="D19" s="11"/>
      <c r="E19" s="11"/>
      <c r="F19" s="11">
        <v>15879</v>
      </c>
      <c r="G19" s="11">
        <v>16630</v>
      </c>
    </row>
    <row r="20" spans="1:7" x14ac:dyDescent="0.35">
      <c r="A20" s="3" t="s">
        <v>75</v>
      </c>
      <c r="B20" s="3" t="s">
        <v>141</v>
      </c>
      <c r="C20" s="4" t="s">
        <v>142</v>
      </c>
      <c r="D20" s="19"/>
      <c r="E20" s="10">
        <v>13422</v>
      </c>
      <c r="F20" s="10">
        <v>14605</v>
      </c>
      <c r="G20" s="10"/>
    </row>
    <row r="21" spans="1:7" x14ac:dyDescent="0.35">
      <c r="A21" s="16" t="s">
        <v>75</v>
      </c>
      <c r="B21" s="3" t="s">
        <v>29</v>
      </c>
      <c r="C21" s="8" t="s">
        <v>65</v>
      </c>
      <c r="D21" s="33">
        <v>10213</v>
      </c>
      <c r="E21" s="33">
        <v>13578</v>
      </c>
      <c r="F21" s="10">
        <v>14144</v>
      </c>
      <c r="G21" s="10"/>
    </row>
    <row r="22" spans="1:7" x14ac:dyDescent="0.35">
      <c r="A22" s="16" t="s">
        <v>75</v>
      </c>
      <c r="B22" s="9" t="s">
        <v>33</v>
      </c>
      <c r="C22" s="6" t="s">
        <v>86</v>
      </c>
      <c r="D22" s="11"/>
      <c r="E22" s="11"/>
      <c r="F22" s="11">
        <v>12363</v>
      </c>
      <c r="G22" s="11"/>
    </row>
    <row r="23" spans="1:7" x14ac:dyDescent="0.35">
      <c r="A23" s="16" t="s">
        <v>75</v>
      </c>
      <c r="B23" s="3" t="s">
        <v>38</v>
      </c>
      <c r="C23" s="4" t="s">
        <v>71</v>
      </c>
      <c r="D23" s="10"/>
      <c r="E23" s="10"/>
      <c r="F23" s="10">
        <v>11133</v>
      </c>
      <c r="G23" s="10">
        <v>12621</v>
      </c>
    </row>
    <row r="24" spans="1:7" x14ac:dyDescent="0.35">
      <c r="A24" s="3" t="s">
        <v>75</v>
      </c>
      <c r="B24" s="3" t="s">
        <v>19</v>
      </c>
      <c r="C24" s="4" t="s">
        <v>192</v>
      </c>
      <c r="D24" s="19">
        <v>7225</v>
      </c>
      <c r="E24" s="10">
        <v>8175</v>
      </c>
      <c r="F24" s="10">
        <v>10401</v>
      </c>
      <c r="G24" s="10">
        <v>10795</v>
      </c>
    </row>
    <row r="25" spans="1:7" x14ac:dyDescent="0.35">
      <c r="A25" s="16" t="s">
        <v>92</v>
      </c>
      <c r="B25" s="3" t="s">
        <v>8</v>
      </c>
      <c r="C25" s="6" t="s">
        <v>51</v>
      </c>
      <c r="D25" s="11"/>
      <c r="E25" s="11"/>
      <c r="F25" s="28">
        <v>24590</v>
      </c>
      <c r="G25" s="28"/>
    </row>
    <row r="26" spans="1:7" x14ac:dyDescent="0.35">
      <c r="A26" s="16" t="s">
        <v>92</v>
      </c>
      <c r="B26" s="3" t="s">
        <v>17</v>
      </c>
      <c r="C26" s="8" t="s">
        <v>56</v>
      </c>
      <c r="D26" s="33"/>
      <c r="E26" s="33">
        <v>18869</v>
      </c>
      <c r="F26" s="10">
        <v>19968</v>
      </c>
      <c r="G26" s="10"/>
    </row>
    <row r="27" spans="1:7" x14ac:dyDescent="0.35">
      <c r="A27" s="16" t="s">
        <v>92</v>
      </c>
      <c r="B27" s="3" t="s">
        <v>15</v>
      </c>
      <c r="C27" s="4" t="s">
        <v>85</v>
      </c>
      <c r="D27" s="10">
        <v>15306</v>
      </c>
      <c r="E27" s="10">
        <v>17350</v>
      </c>
      <c r="F27" s="10">
        <v>19356</v>
      </c>
      <c r="G27" s="10"/>
    </row>
    <row r="28" spans="1:7" x14ac:dyDescent="0.35">
      <c r="A28" s="16" t="s">
        <v>92</v>
      </c>
      <c r="B28" s="3" t="s">
        <v>32</v>
      </c>
      <c r="C28" s="4" t="s">
        <v>68</v>
      </c>
      <c r="D28" s="10"/>
      <c r="E28" s="10"/>
      <c r="F28" s="10">
        <v>12788</v>
      </c>
      <c r="G28" s="10"/>
    </row>
    <row r="29" spans="1:7" x14ac:dyDescent="0.35">
      <c r="A29" s="16" t="s">
        <v>92</v>
      </c>
      <c r="B29" s="3" t="s">
        <v>36</v>
      </c>
      <c r="C29" s="6" t="s">
        <v>69</v>
      </c>
      <c r="D29" s="11"/>
      <c r="E29" s="11"/>
      <c r="F29" s="10">
        <v>11795</v>
      </c>
      <c r="G29" s="10"/>
    </row>
    <row r="30" spans="1:7" x14ac:dyDescent="0.35">
      <c r="A30" s="16" t="s">
        <v>92</v>
      </c>
      <c r="B30" s="9" t="s">
        <v>40</v>
      </c>
      <c r="C30" s="6" t="s">
        <v>89</v>
      </c>
      <c r="D30" s="11"/>
      <c r="E30" s="11"/>
      <c r="F30" s="11">
        <v>10776</v>
      </c>
      <c r="G30" s="11"/>
    </row>
    <row r="31" spans="1:7" x14ac:dyDescent="0.35">
      <c r="A31" s="16" t="s">
        <v>91</v>
      </c>
      <c r="B31" s="3" t="s">
        <v>3</v>
      </c>
      <c r="C31" s="4" t="s">
        <v>4</v>
      </c>
      <c r="D31" s="10"/>
      <c r="E31" s="10">
        <v>40765</v>
      </c>
      <c r="F31" s="10">
        <v>46706</v>
      </c>
      <c r="G31" s="10"/>
    </row>
    <row r="32" spans="1:7" x14ac:dyDescent="0.35">
      <c r="A32" s="16" t="s">
        <v>91</v>
      </c>
      <c r="B32" s="3" t="s">
        <v>8</v>
      </c>
      <c r="C32" s="8" t="s">
        <v>47</v>
      </c>
      <c r="D32" s="33"/>
      <c r="E32" s="33"/>
      <c r="F32" s="33">
        <v>28474</v>
      </c>
      <c r="G32" s="33"/>
    </row>
    <row r="33" spans="1:7" x14ac:dyDescent="0.35">
      <c r="A33" s="16" t="s">
        <v>91</v>
      </c>
      <c r="B33" s="9" t="s">
        <v>16</v>
      </c>
      <c r="C33" s="6" t="s">
        <v>55</v>
      </c>
      <c r="D33" s="11"/>
      <c r="E33" s="11"/>
      <c r="F33" s="11">
        <v>20531</v>
      </c>
      <c r="G33" s="11"/>
    </row>
    <row r="34" spans="1:7" x14ac:dyDescent="0.35">
      <c r="A34" s="16" t="s">
        <v>91</v>
      </c>
      <c r="B34" s="3" t="s">
        <v>20</v>
      </c>
      <c r="C34" s="6" t="s">
        <v>21</v>
      </c>
      <c r="D34" s="11"/>
      <c r="E34" s="11"/>
      <c r="F34" s="11">
        <v>17697</v>
      </c>
      <c r="G34" s="11"/>
    </row>
    <row r="35" spans="1:7" x14ac:dyDescent="0.35">
      <c r="A35" s="16" t="s">
        <v>91</v>
      </c>
      <c r="B35" s="3" t="s">
        <v>23</v>
      </c>
      <c r="C35" s="6" t="s">
        <v>87</v>
      </c>
      <c r="D35" s="11"/>
      <c r="E35" s="11"/>
      <c r="F35" s="11">
        <v>17222</v>
      </c>
      <c r="G35" s="11"/>
    </row>
    <row r="36" spans="1:7" x14ac:dyDescent="0.35">
      <c r="A36" s="16" t="s">
        <v>91</v>
      </c>
      <c r="B36" s="3" t="s">
        <v>13</v>
      </c>
      <c r="C36" s="6" t="s">
        <v>101</v>
      </c>
      <c r="D36" s="11"/>
      <c r="E36" s="11"/>
      <c r="F36" s="11">
        <v>12300</v>
      </c>
      <c r="G36" s="11"/>
    </row>
    <row r="37" spans="1:7" x14ac:dyDescent="0.35">
      <c r="A37" s="16" t="s">
        <v>91</v>
      </c>
      <c r="B37" s="3" t="s">
        <v>41</v>
      </c>
      <c r="C37" s="6" t="s">
        <v>105</v>
      </c>
      <c r="D37" s="11"/>
      <c r="E37" s="11"/>
      <c r="F37" s="11">
        <v>10768</v>
      </c>
      <c r="G37" s="11"/>
    </row>
    <row r="38" spans="1:7" x14ac:dyDescent="0.35">
      <c r="A38" s="16" t="s">
        <v>94</v>
      </c>
      <c r="B38" s="3" t="s">
        <v>6</v>
      </c>
      <c r="C38" s="4" t="s">
        <v>43</v>
      </c>
      <c r="D38" s="10"/>
      <c r="E38" s="10"/>
      <c r="F38" s="10">
        <v>40241</v>
      </c>
      <c r="G38" s="10"/>
    </row>
    <row r="39" spans="1:7" x14ac:dyDescent="0.35">
      <c r="A39" s="16" t="s">
        <v>96</v>
      </c>
      <c r="B39" s="9" t="s">
        <v>14</v>
      </c>
      <c r="C39" s="6" t="s">
        <v>97</v>
      </c>
      <c r="D39" s="11"/>
      <c r="E39" s="11"/>
      <c r="F39" s="11">
        <v>21011</v>
      </c>
      <c r="G39" s="11"/>
    </row>
    <row r="40" spans="1:7" x14ac:dyDescent="0.35">
      <c r="A40" s="16" t="s">
        <v>96</v>
      </c>
      <c r="B40" s="3" t="s">
        <v>34</v>
      </c>
      <c r="C40" s="4" t="s">
        <v>103</v>
      </c>
      <c r="D40" s="10"/>
      <c r="E40" s="10"/>
      <c r="F40" s="10">
        <v>11218</v>
      </c>
      <c r="G40" s="10"/>
    </row>
    <row r="41" spans="1:7" x14ac:dyDescent="0.35">
      <c r="A41" s="16" t="s">
        <v>93</v>
      </c>
      <c r="B41" s="3" t="s">
        <v>5</v>
      </c>
      <c r="C41" s="6" t="s">
        <v>102</v>
      </c>
      <c r="D41" s="11"/>
      <c r="E41" s="11"/>
      <c r="F41" s="11">
        <v>46258</v>
      </c>
      <c r="G41" s="11"/>
    </row>
    <row r="42" spans="1:7" x14ac:dyDescent="0.35">
      <c r="A42" s="16" t="s">
        <v>93</v>
      </c>
      <c r="B42" s="3" t="s">
        <v>6</v>
      </c>
      <c r="C42" s="8" t="s">
        <v>45</v>
      </c>
      <c r="D42" s="33">
        <v>24381</v>
      </c>
      <c r="E42" s="33">
        <v>27716</v>
      </c>
      <c r="F42" s="10">
        <v>31440</v>
      </c>
      <c r="G42" s="10"/>
    </row>
    <row r="43" spans="1:7" x14ac:dyDescent="0.35">
      <c r="A43" s="16" t="s">
        <v>93</v>
      </c>
      <c r="B43" s="3" t="s">
        <v>17</v>
      </c>
      <c r="C43" s="8" t="s">
        <v>58</v>
      </c>
      <c r="D43" s="33"/>
      <c r="E43" s="33"/>
      <c r="F43" s="10">
        <v>17223</v>
      </c>
      <c r="G43" s="10"/>
    </row>
    <row r="44" spans="1:7" x14ac:dyDescent="0.35">
      <c r="A44" s="3" t="s">
        <v>93</v>
      </c>
      <c r="B44" s="3" t="s">
        <v>108</v>
      </c>
      <c r="C44" s="4" t="s">
        <v>109</v>
      </c>
      <c r="D44" s="10"/>
      <c r="E44" s="10">
        <v>7392</v>
      </c>
      <c r="F44" s="10">
        <v>8918</v>
      </c>
      <c r="G44" s="10"/>
    </row>
    <row r="45" spans="1:7" x14ac:dyDescent="0.35">
      <c r="A45" s="16" t="s">
        <v>95</v>
      </c>
      <c r="B45" s="3" t="s">
        <v>10</v>
      </c>
      <c r="C45" s="8" t="s">
        <v>49</v>
      </c>
      <c r="D45" s="33"/>
      <c r="E45" s="33"/>
      <c r="F45" s="10">
        <v>26060</v>
      </c>
      <c r="G45" s="10"/>
    </row>
    <row r="46" spans="1:7" x14ac:dyDescent="0.35">
      <c r="A46" s="16" t="s">
        <v>95</v>
      </c>
      <c r="B46" s="3" t="s">
        <v>11</v>
      </c>
      <c r="C46" s="8" t="s">
        <v>50</v>
      </c>
      <c r="D46" s="33"/>
      <c r="E46" s="33"/>
      <c r="F46" s="10">
        <v>24634</v>
      </c>
      <c r="G46" s="10"/>
    </row>
    <row r="47" spans="1:7" x14ac:dyDescent="0.35">
      <c r="A47" s="16" t="s">
        <v>95</v>
      </c>
      <c r="B47" s="3" t="s">
        <v>13</v>
      </c>
      <c r="C47" s="6" t="s">
        <v>53</v>
      </c>
      <c r="D47" s="11"/>
      <c r="E47" s="11"/>
      <c r="F47" s="11">
        <v>22354</v>
      </c>
      <c r="G47" s="11"/>
    </row>
    <row r="48" spans="1:7" x14ac:dyDescent="0.35">
      <c r="A48" s="16" t="s">
        <v>95</v>
      </c>
      <c r="B48" s="3" t="s">
        <v>19</v>
      </c>
      <c r="C48" s="8" t="s">
        <v>99</v>
      </c>
      <c r="D48" s="33"/>
      <c r="E48" s="33"/>
      <c r="F48" s="10">
        <v>18564</v>
      </c>
      <c r="G48" s="10"/>
    </row>
    <row r="49" spans="1:10" x14ac:dyDescent="0.35">
      <c r="A49" s="43" t="s">
        <v>95</v>
      </c>
      <c r="B49" s="43" t="s">
        <v>169</v>
      </c>
      <c r="C49" s="44" t="s">
        <v>170</v>
      </c>
      <c r="D49" s="48">
        <v>11065</v>
      </c>
      <c r="E49" s="45">
        <v>15270</v>
      </c>
      <c r="F49" s="45">
        <v>16280</v>
      </c>
      <c r="G49" s="45"/>
    </row>
    <row r="50" spans="1:10" x14ac:dyDescent="0.35">
      <c r="A50" s="16" t="s">
        <v>95</v>
      </c>
      <c r="B50" s="3" t="s">
        <v>17</v>
      </c>
      <c r="C50" s="4" t="s">
        <v>60</v>
      </c>
      <c r="D50" s="10"/>
      <c r="E50" s="10"/>
      <c r="F50" s="10">
        <v>16201</v>
      </c>
      <c r="G50" s="10"/>
      <c r="H50" s="21"/>
      <c r="I50" s="21"/>
      <c r="J50" s="21"/>
    </row>
    <row r="51" spans="1:10" x14ac:dyDescent="0.35">
      <c r="A51" s="16" t="s">
        <v>95</v>
      </c>
      <c r="B51" s="3" t="s">
        <v>27</v>
      </c>
      <c r="C51" s="8" t="s">
        <v>63</v>
      </c>
      <c r="D51" s="33"/>
      <c r="E51" s="33"/>
      <c r="F51" s="10">
        <v>14635</v>
      </c>
      <c r="G51" s="10"/>
      <c r="H51" s="21"/>
      <c r="I51" s="21"/>
      <c r="J51" s="21"/>
    </row>
    <row r="52" spans="1:10" x14ac:dyDescent="0.35">
      <c r="A52" s="16" t="s">
        <v>95</v>
      </c>
      <c r="B52" s="3" t="s">
        <v>31</v>
      </c>
      <c r="C52" s="12" t="s">
        <v>67</v>
      </c>
      <c r="D52" s="10"/>
      <c r="E52" s="10"/>
      <c r="F52" s="10">
        <v>13341</v>
      </c>
      <c r="G52" s="10"/>
      <c r="H52" s="21"/>
      <c r="I52" s="21"/>
      <c r="J52" s="21"/>
    </row>
    <row r="53" spans="1:10" x14ac:dyDescent="0.35">
      <c r="A53" s="16" t="s">
        <v>95</v>
      </c>
      <c r="B53" s="3" t="s">
        <v>34</v>
      </c>
      <c r="C53" s="4" t="s">
        <v>100</v>
      </c>
      <c r="D53" s="10"/>
      <c r="E53" s="10"/>
      <c r="F53" s="10">
        <v>12156</v>
      </c>
      <c r="G53" s="10"/>
      <c r="H53" s="21"/>
      <c r="I53" s="21"/>
      <c r="J53" s="21"/>
    </row>
    <row r="54" spans="1:10" x14ac:dyDescent="0.35">
      <c r="A54" s="16" t="s">
        <v>95</v>
      </c>
      <c r="B54" s="9" t="s">
        <v>37</v>
      </c>
      <c r="C54" s="6" t="s">
        <v>70</v>
      </c>
      <c r="D54" s="11"/>
      <c r="E54" s="11"/>
      <c r="F54" s="11">
        <v>11471</v>
      </c>
      <c r="G54" s="11"/>
      <c r="H54" s="21"/>
      <c r="I54" s="21"/>
      <c r="J54" s="21"/>
    </row>
    <row r="55" spans="1:10" x14ac:dyDescent="0.35">
      <c r="A55" s="3" t="s">
        <v>95</v>
      </c>
      <c r="B55" s="3" t="s">
        <v>153</v>
      </c>
      <c r="C55" s="4" t="s">
        <v>152</v>
      </c>
      <c r="D55" s="19">
        <v>10690</v>
      </c>
      <c r="E55" s="10">
        <v>11598</v>
      </c>
      <c r="F55" s="10">
        <v>11416</v>
      </c>
      <c r="G55" s="10"/>
      <c r="H55" s="21"/>
      <c r="I55" s="21"/>
      <c r="J55" s="21"/>
    </row>
    <row r="56" spans="1:10" x14ac:dyDescent="0.35">
      <c r="A56" s="16" t="s">
        <v>95</v>
      </c>
      <c r="B56" s="9" t="s">
        <v>42</v>
      </c>
      <c r="C56" s="6" t="s">
        <v>73</v>
      </c>
      <c r="D56" s="11"/>
      <c r="E56" s="11"/>
      <c r="F56" s="11">
        <v>10752</v>
      </c>
      <c r="G56" s="11"/>
      <c r="H56" s="21"/>
      <c r="I56" s="21"/>
      <c r="J56" s="21"/>
    </row>
    <row r="57" spans="1:10" x14ac:dyDescent="0.35">
      <c r="A57" s="3" t="s">
        <v>95</v>
      </c>
      <c r="B57" s="3" t="s">
        <v>22</v>
      </c>
      <c r="C57" s="4" t="s">
        <v>151</v>
      </c>
      <c r="D57" s="19">
        <v>6567</v>
      </c>
      <c r="E57" s="10">
        <v>7255</v>
      </c>
      <c r="F57" s="10">
        <v>7635</v>
      </c>
      <c r="G57" s="10"/>
      <c r="H57" s="21"/>
      <c r="I57" s="21"/>
      <c r="J57" s="21"/>
    </row>
    <row r="58" spans="1:10" x14ac:dyDescent="0.35">
      <c r="A58" s="16" t="s">
        <v>104</v>
      </c>
      <c r="B58" s="3" t="s">
        <v>39</v>
      </c>
      <c r="C58" s="4" t="s">
        <v>72</v>
      </c>
      <c r="D58" s="10"/>
      <c r="E58" s="10"/>
      <c r="F58" s="10">
        <v>10896</v>
      </c>
      <c r="G58" s="10"/>
      <c r="H58" s="21"/>
      <c r="I58" s="21"/>
      <c r="J58" s="21"/>
    </row>
    <row r="59" spans="1:10" x14ac:dyDescent="0.35">
      <c r="A59" s="16" t="s">
        <v>83</v>
      </c>
      <c r="B59" s="9" t="s">
        <v>24</v>
      </c>
      <c r="C59" s="6" t="s">
        <v>59</v>
      </c>
      <c r="D59" s="11">
        <v>16689</v>
      </c>
      <c r="E59" s="11">
        <v>16674</v>
      </c>
      <c r="F59" s="11">
        <v>16954</v>
      </c>
      <c r="G59" s="11"/>
      <c r="H59" s="21"/>
      <c r="I59" s="21"/>
      <c r="J59" s="21"/>
    </row>
    <row r="60" spans="1:10" x14ac:dyDescent="0.35">
      <c r="A60" s="16" t="s">
        <v>83</v>
      </c>
      <c r="B60" s="9" t="s">
        <v>26</v>
      </c>
      <c r="C60" s="6" t="s">
        <v>62</v>
      </c>
      <c r="D60" s="11"/>
      <c r="E60" s="11"/>
      <c r="F60" s="11">
        <v>14747</v>
      </c>
      <c r="G60" s="11"/>
      <c r="H60" s="21"/>
      <c r="I60" s="21"/>
      <c r="J60" s="21"/>
    </row>
    <row r="61" spans="1:10" x14ac:dyDescent="0.35">
      <c r="A61" s="3" t="s">
        <v>83</v>
      </c>
      <c r="B61" s="3" t="s">
        <v>127</v>
      </c>
      <c r="C61" s="4" t="s">
        <v>128</v>
      </c>
      <c r="D61" s="19">
        <v>9126</v>
      </c>
      <c r="E61" s="10">
        <v>9187</v>
      </c>
      <c r="F61" s="10">
        <v>10364</v>
      </c>
      <c r="G61" s="10"/>
      <c r="H61" s="21"/>
      <c r="I61" s="21"/>
      <c r="J61" s="21"/>
    </row>
    <row r="62" spans="1:10" x14ac:dyDescent="0.35">
      <c r="A62" s="3" t="s">
        <v>83</v>
      </c>
      <c r="B62" s="3" t="s">
        <v>84</v>
      </c>
      <c r="C62" s="4" t="s">
        <v>90</v>
      </c>
      <c r="D62" s="10"/>
      <c r="E62" s="10"/>
      <c r="F62" s="10">
        <v>10178</v>
      </c>
      <c r="G62" s="10"/>
      <c r="H62" s="21"/>
      <c r="I62" s="21"/>
      <c r="J62" s="21"/>
    </row>
    <row r="63" spans="1:10" x14ac:dyDescent="0.35">
      <c r="A63" s="20"/>
      <c r="B63" s="20"/>
      <c r="C63" s="21"/>
      <c r="D63" s="22"/>
      <c r="E63" s="23"/>
      <c r="F63" s="23"/>
      <c r="G63" s="23"/>
      <c r="H63" s="21"/>
      <c r="I63" s="21"/>
      <c r="J63" s="21"/>
    </row>
    <row r="64" spans="1:10" x14ac:dyDescent="0.35">
      <c r="A64" s="20"/>
      <c r="B64" s="20"/>
      <c r="C64" s="21"/>
      <c r="D64" s="22"/>
      <c r="E64" s="23"/>
      <c r="F64" s="23"/>
      <c r="G64" s="23"/>
      <c r="H64" s="21"/>
      <c r="I64" s="21"/>
      <c r="J64" s="21"/>
    </row>
    <row r="65" spans="1:10" x14ac:dyDescent="0.35">
      <c r="A65" s="20"/>
      <c r="B65" s="20"/>
      <c r="C65" s="21"/>
      <c r="D65" s="22"/>
      <c r="E65" s="23"/>
      <c r="F65" s="23"/>
      <c r="G65" s="23"/>
      <c r="H65" s="21"/>
      <c r="I65" s="21"/>
      <c r="J65" s="21"/>
    </row>
    <row r="66" spans="1:10" x14ac:dyDescent="0.35">
      <c r="A66" s="20"/>
      <c r="B66" s="20"/>
      <c r="C66" s="21"/>
      <c r="D66" s="22"/>
      <c r="E66" s="23"/>
      <c r="F66" s="23"/>
      <c r="G66" s="23"/>
      <c r="H66" s="21"/>
      <c r="I66" s="21"/>
      <c r="J66" s="21"/>
    </row>
    <row r="67" spans="1:10" x14ac:dyDescent="0.35">
      <c r="A67" s="20"/>
      <c r="B67" s="20"/>
      <c r="C67" s="21"/>
      <c r="D67" s="22"/>
      <c r="E67" s="23"/>
      <c r="F67" s="23"/>
      <c r="G67" s="23"/>
      <c r="H67" s="21"/>
      <c r="I67" s="21"/>
      <c r="J67" s="21"/>
    </row>
    <row r="68" spans="1:10" x14ac:dyDescent="0.35">
      <c r="A68" s="20"/>
      <c r="B68" s="20"/>
      <c r="C68" s="21"/>
      <c r="D68" s="22"/>
      <c r="E68" s="23"/>
      <c r="F68" s="23"/>
      <c r="G68" s="23"/>
      <c r="H68" s="21"/>
      <c r="I68" s="21"/>
      <c r="J68" s="21"/>
    </row>
    <row r="69" spans="1:10" x14ac:dyDescent="0.35">
      <c r="A69" s="20"/>
      <c r="B69" s="20"/>
      <c r="C69" s="21"/>
      <c r="D69" s="22"/>
      <c r="E69" s="23"/>
      <c r="F69" s="23"/>
      <c r="G69" s="23"/>
      <c r="H69" s="21"/>
      <c r="I69" s="21"/>
      <c r="J69" s="21"/>
    </row>
    <row r="70" spans="1:10" x14ac:dyDescent="0.35">
      <c r="A70" s="20"/>
      <c r="B70" s="20"/>
      <c r="C70" s="21"/>
      <c r="D70" s="22"/>
      <c r="E70" s="23"/>
      <c r="F70" s="23"/>
      <c r="G70" s="23"/>
      <c r="H70" s="21"/>
      <c r="I70" s="21"/>
      <c r="J70" s="21"/>
    </row>
    <row r="71" spans="1:10" x14ac:dyDescent="0.35">
      <c r="A71" s="20"/>
      <c r="B71" s="20"/>
      <c r="C71" s="21"/>
      <c r="D71" s="22"/>
      <c r="E71" s="23"/>
      <c r="F71" s="23"/>
      <c r="G71" s="23"/>
      <c r="H71" s="21"/>
      <c r="I71" s="21"/>
      <c r="J71" s="21"/>
    </row>
    <row r="72" spans="1:10" x14ac:dyDescent="0.35">
      <c r="A72" s="20"/>
      <c r="B72" s="20"/>
      <c r="C72" s="21"/>
      <c r="D72" s="22"/>
      <c r="E72" s="23"/>
      <c r="F72" s="23"/>
      <c r="G72" s="23"/>
      <c r="H72" s="21"/>
      <c r="I72" s="21"/>
      <c r="J72" s="21"/>
    </row>
    <row r="73" spans="1:10" x14ac:dyDescent="0.35">
      <c r="A73" s="20"/>
      <c r="B73" s="20"/>
      <c r="C73" s="21"/>
      <c r="D73" s="22"/>
      <c r="E73" s="23"/>
      <c r="F73" s="23"/>
      <c r="G73" s="23"/>
      <c r="H73" s="21"/>
      <c r="I73" s="21"/>
      <c r="J73" s="21"/>
    </row>
    <row r="74" spans="1:10" x14ac:dyDescent="0.35">
      <c r="A74" s="20"/>
      <c r="B74" s="20"/>
      <c r="C74" s="21"/>
      <c r="D74" s="22"/>
      <c r="E74" s="23"/>
      <c r="F74" s="23"/>
      <c r="G74" s="23"/>
      <c r="H74" s="21"/>
      <c r="I74" s="21"/>
      <c r="J74" s="21"/>
    </row>
    <row r="75" spans="1:10" x14ac:dyDescent="0.35">
      <c r="A75" s="20"/>
      <c r="B75" s="20"/>
      <c r="C75" s="21"/>
      <c r="D75" s="22"/>
      <c r="E75" s="23"/>
      <c r="F75" s="23"/>
      <c r="G75" s="23"/>
      <c r="H75" s="21"/>
      <c r="I75" s="21"/>
      <c r="J75" s="21"/>
    </row>
    <row r="76" spans="1:10" x14ac:dyDescent="0.35">
      <c r="A76" s="20"/>
      <c r="B76" s="20"/>
      <c r="C76" s="21"/>
      <c r="D76" s="22"/>
      <c r="E76" s="23"/>
      <c r="F76" s="23"/>
      <c r="G76" s="23"/>
      <c r="H76" s="21"/>
      <c r="I76" s="21"/>
      <c r="J76" s="21"/>
    </row>
    <row r="77" spans="1:10" x14ac:dyDescent="0.35">
      <c r="A77" s="20"/>
      <c r="B77" s="20"/>
      <c r="C77" s="21"/>
      <c r="D77" s="22"/>
      <c r="E77" s="23"/>
      <c r="F77" s="23"/>
      <c r="G77" s="23"/>
      <c r="H77" s="21"/>
      <c r="I77" s="21"/>
      <c r="J77" s="21"/>
    </row>
    <row r="78" spans="1:10" x14ac:dyDescent="0.35">
      <c r="A78" s="20"/>
      <c r="B78" s="20"/>
      <c r="C78" s="21"/>
      <c r="D78" s="22"/>
      <c r="E78" s="23"/>
      <c r="F78" s="23"/>
      <c r="G78" s="23"/>
      <c r="H78" s="21"/>
      <c r="I78" s="21"/>
      <c r="J78" s="21"/>
    </row>
    <row r="79" spans="1:10" x14ac:dyDescent="0.35">
      <c r="A79" s="20"/>
      <c r="B79" s="20"/>
      <c r="C79" s="21"/>
      <c r="D79" s="22"/>
      <c r="E79" s="23"/>
      <c r="F79" s="23"/>
      <c r="G79" s="23"/>
      <c r="H79" s="21"/>
      <c r="I79" s="21"/>
      <c r="J79" s="21"/>
    </row>
    <row r="80" spans="1:10" x14ac:dyDescent="0.35">
      <c r="A80" s="20"/>
      <c r="B80" s="20"/>
      <c r="C80" s="21"/>
      <c r="D80" s="22"/>
      <c r="E80" s="23"/>
      <c r="F80" s="23"/>
      <c r="G80" s="23"/>
      <c r="H80" s="21"/>
      <c r="I80" s="21"/>
      <c r="J80" s="21"/>
    </row>
    <row r="81" spans="1:10" x14ac:dyDescent="0.35">
      <c r="A81" s="20"/>
      <c r="B81" s="20"/>
      <c r="C81" s="21"/>
      <c r="D81" s="22"/>
      <c r="E81" s="23"/>
      <c r="F81" s="23"/>
      <c r="G81" s="23"/>
      <c r="H81" s="21"/>
      <c r="I81" s="21"/>
      <c r="J81" s="21"/>
    </row>
    <row r="82" spans="1:10" x14ac:dyDescent="0.35">
      <c r="A82" s="20"/>
      <c r="B82" s="20"/>
      <c r="C82" s="21"/>
      <c r="D82" s="22"/>
      <c r="E82" s="23"/>
      <c r="F82" s="23"/>
      <c r="G82" s="23"/>
      <c r="H82" s="21"/>
      <c r="I82" s="21"/>
      <c r="J82" s="21"/>
    </row>
    <row r="83" spans="1:10" x14ac:dyDescent="0.35">
      <c r="A83" s="20"/>
      <c r="B83" s="20"/>
      <c r="C83" s="21"/>
      <c r="D83" s="22"/>
      <c r="E83" s="23"/>
      <c r="F83" s="23"/>
      <c r="G83" s="23"/>
      <c r="H83" s="21"/>
      <c r="I83" s="21"/>
      <c r="J83" s="21"/>
    </row>
    <row r="84" spans="1:10" x14ac:dyDescent="0.35">
      <c r="A84" s="20"/>
      <c r="B84" s="20"/>
      <c r="C84" s="21"/>
      <c r="D84" s="22"/>
      <c r="E84" s="23"/>
      <c r="F84" s="23"/>
      <c r="G84" s="23"/>
      <c r="H84" s="21"/>
      <c r="I84" s="21"/>
      <c r="J84" s="21"/>
    </row>
    <row r="85" spans="1:10" x14ac:dyDescent="0.35">
      <c r="A85" s="20"/>
      <c r="B85" s="20"/>
      <c r="C85" s="21"/>
      <c r="D85" s="22"/>
      <c r="E85" s="23"/>
      <c r="F85" s="23"/>
      <c r="G85" s="23"/>
      <c r="H85" s="21"/>
      <c r="I85" s="21"/>
      <c r="J85" s="21"/>
    </row>
    <row r="86" spans="1:10" x14ac:dyDescent="0.35">
      <c r="A86" s="20"/>
      <c r="B86" s="20"/>
      <c r="C86" s="21"/>
      <c r="D86" s="22"/>
      <c r="E86" s="23"/>
      <c r="F86" s="23"/>
      <c r="G86" s="23"/>
      <c r="H86" s="21"/>
      <c r="I86" s="21"/>
      <c r="J86" s="21"/>
    </row>
    <row r="87" spans="1:10" x14ac:dyDescent="0.35">
      <c r="A87" s="20"/>
      <c r="B87" s="20"/>
      <c r="C87" s="21"/>
      <c r="D87" s="22"/>
      <c r="E87" s="23"/>
      <c r="F87" s="23"/>
      <c r="G87" s="23"/>
      <c r="H87" s="21"/>
      <c r="I87" s="21"/>
      <c r="J87" s="21"/>
    </row>
    <row r="88" spans="1:10" x14ac:dyDescent="0.35">
      <c r="A88" s="20"/>
      <c r="B88" s="20"/>
      <c r="C88" s="21"/>
      <c r="D88" s="22"/>
      <c r="E88" s="23"/>
      <c r="F88" s="23"/>
      <c r="G88" s="23"/>
      <c r="H88" s="21"/>
      <c r="I88" s="21"/>
      <c r="J88" s="21"/>
    </row>
    <row r="89" spans="1:10" x14ac:dyDescent="0.35">
      <c r="A89" s="20"/>
      <c r="B89" s="20"/>
      <c r="C89" s="21"/>
      <c r="D89" s="22"/>
      <c r="E89" s="23"/>
      <c r="F89" s="23"/>
      <c r="G89" s="23"/>
      <c r="H89" s="21"/>
      <c r="I89" s="21"/>
      <c r="J89" s="21"/>
    </row>
    <row r="90" spans="1:10" x14ac:dyDescent="0.35">
      <c r="A90" s="20"/>
      <c r="B90" s="20"/>
      <c r="C90" s="21"/>
      <c r="D90" s="22"/>
      <c r="E90" s="23"/>
      <c r="F90" s="23"/>
      <c r="G90" s="23"/>
      <c r="H90" s="21"/>
      <c r="I90" s="21"/>
      <c r="J90" s="21"/>
    </row>
    <row r="91" spans="1:10" x14ac:dyDescent="0.35">
      <c r="A91" s="20"/>
      <c r="B91" s="20"/>
      <c r="C91" s="21"/>
      <c r="D91" s="22"/>
      <c r="E91" s="23"/>
      <c r="F91" s="23"/>
      <c r="G91" s="23"/>
      <c r="H91" s="21"/>
      <c r="I91" s="21"/>
      <c r="J91" s="21"/>
    </row>
    <row r="92" spans="1:10" x14ac:dyDescent="0.35">
      <c r="A92" s="20"/>
      <c r="B92" s="20"/>
      <c r="C92" s="21"/>
      <c r="D92" s="22"/>
      <c r="E92" s="23"/>
      <c r="F92" s="23"/>
      <c r="G92" s="23"/>
      <c r="H92" s="21"/>
      <c r="I92" s="21"/>
      <c r="J92" s="21"/>
    </row>
    <row r="93" spans="1:10" x14ac:dyDescent="0.35">
      <c r="A93" s="20"/>
      <c r="B93" s="20"/>
      <c r="C93" s="21"/>
      <c r="D93" s="22"/>
      <c r="E93" s="23"/>
      <c r="F93" s="23"/>
      <c r="G93" s="23"/>
      <c r="H93" s="21"/>
      <c r="I93" s="21"/>
      <c r="J93" s="21"/>
    </row>
    <row r="94" spans="1:10" x14ac:dyDescent="0.35">
      <c r="A94" s="20"/>
      <c r="B94" s="20"/>
      <c r="C94" s="21"/>
      <c r="D94" s="22"/>
      <c r="E94" s="23"/>
      <c r="F94" s="23"/>
      <c r="G94" s="23"/>
      <c r="H94" s="21"/>
      <c r="I94" s="21"/>
      <c r="J94" s="21"/>
    </row>
    <row r="95" spans="1:10" x14ac:dyDescent="0.35">
      <c r="A95" s="20"/>
      <c r="B95" s="20"/>
      <c r="C95" s="21"/>
      <c r="D95" s="22"/>
      <c r="E95" s="23"/>
      <c r="F95" s="23"/>
      <c r="G95" s="23"/>
      <c r="H95" s="21"/>
      <c r="I95" s="21"/>
      <c r="J95" s="21"/>
    </row>
    <row r="96" spans="1:10" x14ac:dyDescent="0.35">
      <c r="A96" s="20"/>
      <c r="B96" s="20"/>
      <c r="C96" s="21"/>
      <c r="D96" s="22"/>
      <c r="E96" s="23"/>
      <c r="F96" s="23"/>
      <c r="G96" s="23"/>
      <c r="H96" s="21"/>
      <c r="I96" s="21"/>
      <c r="J96" s="21"/>
    </row>
    <row r="97" spans="1:10" x14ac:dyDescent="0.35">
      <c r="A97" s="20"/>
      <c r="B97" s="20"/>
      <c r="C97" s="21"/>
      <c r="D97" s="22"/>
      <c r="E97" s="23"/>
      <c r="F97" s="23"/>
      <c r="G97" s="23"/>
      <c r="H97" s="21"/>
      <c r="I97" s="21"/>
      <c r="J97" s="21"/>
    </row>
    <row r="98" spans="1:10" x14ac:dyDescent="0.35">
      <c r="A98" s="20"/>
      <c r="B98" s="20"/>
      <c r="C98" s="21"/>
      <c r="D98" s="22"/>
      <c r="E98" s="23"/>
      <c r="F98" s="23"/>
      <c r="G98" s="23"/>
      <c r="H98" s="21"/>
      <c r="I98" s="21"/>
      <c r="J98" s="21"/>
    </row>
    <row r="99" spans="1:10" x14ac:dyDescent="0.35">
      <c r="A99" s="20"/>
      <c r="B99" s="20"/>
      <c r="C99" s="21"/>
      <c r="D99" s="22"/>
      <c r="E99" s="23"/>
      <c r="F99" s="23"/>
      <c r="G99" s="23"/>
      <c r="H99" s="21"/>
      <c r="I99" s="21"/>
      <c r="J99" s="21"/>
    </row>
    <row r="100" spans="1:10" x14ac:dyDescent="0.35">
      <c r="A100" s="20"/>
      <c r="B100" s="20"/>
      <c r="C100" s="21"/>
      <c r="D100" s="22"/>
      <c r="E100" s="23"/>
      <c r="F100" s="23"/>
      <c r="G100" s="23"/>
      <c r="H100" s="21"/>
      <c r="I100" s="21"/>
      <c r="J100" s="21"/>
    </row>
    <row r="101" spans="1:10" x14ac:dyDescent="0.35">
      <c r="A101" s="20"/>
      <c r="B101" s="20"/>
      <c r="C101" s="21"/>
      <c r="D101" s="22"/>
      <c r="E101" s="23"/>
      <c r="F101" s="23"/>
      <c r="G101" s="23"/>
      <c r="H101" s="21"/>
      <c r="I101" s="21"/>
      <c r="J101" s="21"/>
    </row>
    <row r="102" spans="1:10" x14ac:dyDescent="0.35">
      <c r="A102" s="20"/>
      <c r="B102" s="20"/>
      <c r="C102" s="21"/>
      <c r="D102" s="22"/>
      <c r="E102" s="23"/>
      <c r="F102" s="23"/>
      <c r="G102" s="23"/>
      <c r="H102" s="21"/>
      <c r="I102" s="21"/>
      <c r="J102" s="21"/>
    </row>
    <row r="103" spans="1:10" x14ac:dyDescent="0.35">
      <c r="A103" s="20"/>
      <c r="B103" s="20"/>
      <c r="C103" s="21"/>
      <c r="D103" s="22"/>
      <c r="E103" s="23"/>
      <c r="F103" s="23"/>
      <c r="G103" s="23"/>
      <c r="H103" s="21"/>
      <c r="I103" s="21"/>
      <c r="J103" s="21"/>
    </row>
    <row r="104" spans="1:10" x14ac:dyDescent="0.35">
      <c r="A104" s="20"/>
      <c r="B104" s="20"/>
      <c r="C104" s="21"/>
      <c r="D104" s="22"/>
      <c r="E104" s="23"/>
      <c r="F104" s="23"/>
      <c r="G104" s="23"/>
      <c r="H104" s="21"/>
      <c r="I104" s="21"/>
      <c r="J104" s="21"/>
    </row>
    <row r="105" spans="1:10" x14ac:dyDescent="0.35">
      <c r="A105" s="20"/>
      <c r="B105" s="20"/>
      <c r="C105" s="21"/>
      <c r="D105" s="22"/>
      <c r="E105" s="23"/>
      <c r="F105" s="23"/>
      <c r="G105" s="23"/>
      <c r="H105" s="21"/>
      <c r="I105" s="21"/>
      <c r="J105" s="21"/>
    </row>
    <row r="106" spans="1:10" x14ac:dyDescent="0.35">
      <c r="A106" s="20"/>
      <c r="B106" s="20"/>
      <c r="C106" s="21"/>
      <c r="D106" s="22"/>
      <c r="E106" s="23"/>
      <c r="F106" s="23"/>
      <c r="G106" s="23"/>
      <c r="H106" s="21"/>
      <c r="I106" s="21"/>
      <c r="J106" s="21"/>
    </row>
    <row r="107" spans="1:10" x14ac:dyDescent="0.35">
      <c r="A107" s="20"/>
      <c r="B107" s="20"/>
      <c r="C107" s="21"/>
      <c r="D107" s="22"/>
      <c r="E107" s="23"/>
      <c r="F107" s="23"/>
      <c r="G107" s="23"/>
      <c r="H107" s="21"/>
      <c r="I107" s="21"/>
      <c r="J107" s="21"/>
    </row>
    <row r="108" spans="1:10" x14ac:dyDescent="0.35">
      <c r="A108" s="20"/>
      <c r="B108" s="20"/>
      <c r="C108" s="21"/>
      <c r="D108" s="22"/>
      <c r="E108" s="23"/>
      <c r="F108" s="23"/>
      <c r="G108" s="23"/>
      <c r="H108" s="21"/>
      <c r="I108" s="21"/>
      <c r="J108" s="21"/>
    </row>
    <row r="109" spans="1:10" x14ac:dyDescent="0.35">
      <c r="A109" s="20"/>
      <c r="B109" s="20"/>
      <c r="C109" s="21"/>
      <c r="D109" s="22"/>
      <c r="E109" s="23"/>
      <c r="F109" s="23"/>
      <c r="G109" s="23"/>
      <c r="H109" s="21"/>
      <c r="I109" s="21"/>
      <c r="J109" s="21"/>
    </row>
    <row r="110" spans="1:10" x14ac:dyDescent="0.35">
      <c r="A110" s="20"/>
      <c r="B110" s="20"/>
      <c r="C110" s="21"/>
      <c r="D110" s="22"/>
      <c r="E110" s="23"/>
      <c r="F110" s="23"/>
      <c r="G110" s="23"/>
      <c r="H110" s="21"/>
      <c r="I110" s="21"/>
      <c r="J110" s="21"/>
    </row>
    <row r="111" spans="1:10" x14ac:dyDescent="0.35">
      <c r="A111" s="20"/>
      <c r="B111" s="20"/>
      <c r="C111" s="21"/>
      <c r="D111" s="22"/>
      <c r="E111" s="23"/>
      <c r="F111" s="23"/>
      <c r="G111" s="23"/>
      <c r="H111" s="21"/>
      <c r="I111" s="21"/>
      <c r="J111" s="21"/>
    </row>
    <row r="112" spans="1:10" x14ac:dyDescent="0.35">
      <c r="A112" s="20"/>
      <c r="B112" s="20"/>
      <c r="C112" s="21"/>
      <c r="D112" s="22"/>
      <c r="E112" s="23"/>
      <c r="F112" s="23"/>
      <c r="G112" s="23"/>
      <c r="H112" s="21"/>
      <c r="I112" s="21"/>
      <c r="J112" s="21"/>
    </row>
    <row r="113" spans="1:10" x14ac:dyDescent="0.35">
      <c r="A113" s="20"/>
      <c r="B113" s="20"/>
      <c r="C113" s="21"/>
      <c r="D113" s="22"/>
      <c r="E113" s="23"/>
      <c r="F113" s="23"/>
      <c r="G113" s="23"/>
      <c r="H113" s="21"/>
      <c r="I113" s="21"/>
      <c r="J113" s="21"/>
    </row>
    <row r="114" spans="1:10" x14ac:dyDescent="0.35">
      <c r="A114" s="20"/>
      <c r="B114" s="20"/>
      <c r="C114" s="21"/>
      <c r="D114" s="22"/>
      <c r="E114" s="23"/>
      <c r="F114" s="23"/>
      <c r="G114" s="23"/>
      <c r="H114" s="21"/>
      <c r="I114" s="21"/>
      <c r="J114" s="21"/>
    </row>
    <row r="115" spans="1:10" x14ac:dyDescent="0.35">
      <c r="A115" s="20"/>
      <c r="B115" s="20"/>
      <c r="C115" s="21"/>
      <c r="D115" s="22"/>
      <c r="E115" s="23"/>
      <c r="F115" s="23"/>
      <c r="G115" s="23"/>
      <c r="H115" s="21"/>
      <c r="I115" s="21"/>
      <c r="J115" s="21"/>
    </row>
    <row r="116" spans="1:10" x14ac:dyDescent="0.35">
      <c r="A116" s="20"/>
      <c r="B116" s="20"/>
      <c r="C116" s="21"/>
      <c r="D116" s="22"/>
      <c r="E116" s="23"/>
      <c r="F116" s="23"/>
      <c r="G116" s="23"/>
      <c r="H116" s="21"/>
      <c r="I116" s="21"/>
      <c r="J116" s="21"/>
    </row>
    <row r="117" spans="1:10" x14ac:dyDescent="0.35">
      <c r="A117" s="20"/>
      <c r="B117" s="20"/>
      <c r="C117" s="21"/>
      <c r="D117" s="22"/>
      <c r="E117" s="23"/>
      <c r="F117" s="23"/>
      <c r="G117" s="23"/>
      <c r="H117" s="21"/>
      <c r="I117" s="21"/>
      <c r="J117" s="21"/>
    </row>
    <row r="118" spans="1:10" x14ac:dyDescent="0.35">
      <c r="A118" s="20"/>
      <c r="B118" s="20"/>
      <c r="C118" s="21"/>
      <c r="D118" s="22"/>
      <c r="E118" s="23"/>
      <c r="F118" s="23"/>
      <c r="G118" s="23"/>
      <c r="H118" s="21"/>
      <c r="I118" s="21"/>
      <c r="J118" s="21"/>
    </row>
    <row r="119" spans="1:10" x14ac:dyDescent="0.35">
      <c r="A119" s="20"/>
      <c r="B119" s="20"/>
      <c r="C119" s="21"/>
      <c r="D119" s="22"/>
      <c r="E119" s="23"/>
      <c r="F119" s="23"/>
      <c r="G119" s="23"/>
      <c r="H119" s="21"/>
      <c r="I119" s="21"/>
      <c r="J119" s="21"/>
    </row>
    <row r="120" spans="1:10" x14ac:dyDescent="0.35">
      <c r="A120" s="20"/>
      <c r="B120" s="20"/>
      <c r="C120" s="21"/>
      <c r="D120" s="22"/>
      <c r="E120" s="23"/>
      <c r="F120" s="23"/>
      <c r="G120" s="23"/>
      <c r="H120" s="21"/>
      <c r="I120" s="21"/>
      <c r="J120" s="21"/>
    </row>
    <row r="121" spans="1:10" x14ac:dyDescent="0.35">
      <c r="A121" s="20"/>
      <c r="B121" s="20"/>
      <c r="C121" s="21"/>
      <c r="D121" s="22"/>
      <c r="E121" s="23"/>
      <c r="F121" s="23"/>
      <c r="G121" s="23"/>
      <c r="H121" s="21"/>
      <c r="I121" s="21"/>
      <c r="J121" s="21"/>
    </row>
    <row r="122" spans="1:10" x14ac:dyDescent="0.35">
      <c r="A122" s="20"/>
      <c r="B122" s="20"/>
      <c r="C122" s="21"/>
      <c r="D122" s="22"/>
      <c r="E122" s="23"/>
      <c r="F122" s="23"/>
      <c r="G122" s="23"/>
      <c r="H122" s="21"/>
      <c r="I122" s="21"/>
      <c r="J122" s="21"/>
    </row>
    <row r="123" spans="1:10" x14ac:dyDescent="0.35">
      <c r="A123" s="20"/>
      <c r="B123" s="20"/>
      <c r="C123" s="21"/>
      <c r="D123" s="22"/>
      <c r="E123" s="23"/>
      <c r="F123" s="23"/>
      <c r="G123" s="23"/>
      <c r="H123" s="21"/>
      <c r="I123" s="21"/>
      <c r="J123" s="21"/>
    </row>
    <row r="124" spans="1:10" x14ac:dyDescent="0.35">
      <c r="A124" s="20"/>
      <c r="B124" s="20"/>
      <c r="C124" s="21"/>
      <c r="D124" s="22"/>
      <c r="E124" s="23"/>
      <c r="F124" s="23"/>
      <c r="G124" s="23"/>
      <c r="H124" s="21"/>
      <c r="I124" s="21"/>
      <c r="J124" s="21"/>
    </row>
    <row r="125" spans="1:10" x14ac:dyDescent="0.35">
      <c r="A125" s="20"/>
      <c r="B125" s="20"/>
      <c r="C125" s="21"/>
      <c r="D125" s="22"/>
      <c r="E125" s="23"/>
      <c r="F125" s="23"/>
      <c r="G125" s="23"/>
      <c r="H125" s="21"/>
      <c r="I125" s="21"/>
      <c r="J125" s="21"/>
    </row>
    <row r="126" spans="1:10" x14ac:dyDescent="0.35">
      <c r="A126" s="20"/>
      <c r="B126" s="20"/>
      <c r="C126" s="21"/>
      <c r="D126" s="22"/>
      <c r="E126" s="23"/>
      <c r="F126" s="23"/>
      <c r="G126" s="23"/>
      <c r="H126" s="21"/>
      <c r="I126" s="21"/>
      <c r="J126" s="21"/>
    </row>
    <row r="127" spans="1:10" x14ac:dyDescent="0.35">
      <c r="A127" s="20"/>
      <c r="B127" s="20"/>
      <c r="C127" s="21"/>
      <c r="D127" s="22"/>
      <c r="E127" s="23"/>
      <c r="F127" s="23"/>
      <c r="G127" s="23"/>
      <c r="H127" s="21"/>
      <c r="I127" s="21"/>
      <c r="J127" s="21"/>
    </row>
    <row r="128" spans="1:10" x14ac:dyDescent="0.35">
      <c r="A128" s="20"/>
      <c r="B128" s="20"/>
      <c r="C128" s="21"/>
      <c r="D128" s="22"/>
      <c r="E128" s="23"/>
      <c r="F128" s="23"/>
      <c r="G128" s="23"/>
      <c r="H128" s="21"/>
      <c r="I128" s="21"/>
      <c r="J128" s="21"/>
    </row>
  </sheetData>
  <autoFilter ref="A1:G1" xr:uid="{29B38C84-3227-4A80-8AF0-36625566A7B7}">
    <sortState xmlns:xlrd2="http://schemas.microsoft.com/office/spreadsheetml/2017/richdata2" ref="A2:G62">
      <sortCondition ref="A2:A62" customList="janvier,février,mars,avril,mai,juin,juillet,août,septembre,octobre,novembre,décembre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3BD0-9265-469E-B647-2A2E999FA60C}">
  <dimension ref="A1:R128"/>
  <sheetViews>
    <sheetView tabSelected="1" workbookViewId="0">
      <selection activeCell="G8" sqref="G8"/>
    </sheetView>
  </sheetViews>
  <sheetFormatPr baseColWidth="10" defaultRowHeight="14.5" x14ac:dyDescent="0.35"/>
  <cols>
    <col min="1" max="1" width="12" style="17" customWidth="1"/>
    <col min="2" max="2" width="17.08984375" style="14" bestFit="1" customWidth="1"/>
    <col min="3" max="3" width="48.1796875" bestFit="1" customWidth="1"/>
    <col min="4" max="4" width="11" customWidth="1"/>
    <col min="5" max="6" width="11" style="24" customWidth="1"/>
    <col min="7" max="7" width="11.08984375" style="24" customWidth="1"/>
  </cols>
  <sheetData>
    <row r="1" spans="1:7" x14ac:dyDescent="0.35">
      <c r="A1" s="15" t="s">
        <v>74</v>
      </c>
      <c r="B1" s="1" t="s">
        <v>0</v>
      </c>
      <c r="C1" s="2" t="s">
        <v>1</v>
      </c>
      <c r="D1" s="2">
        <v>2023</v>
      </c>
      <c r="E1" s="2">
        <v>2024</v>
      </c>
      <c r="F1" s="13">
        <v>2025</v>
      </c>
      <c r="G1" s="13">
        <v>2026</v>
      </c>
    </row>
    <row r="2" spans="1:7" x14ac:dyDescent="0.35">
      <c r="A2" s="16" t="s">
        <v>76</v>
      </c>
      <c r="B2" s="25" t="s">
        <v>28</v>
      </c>
      <c r="C2" s="26" t="s">
        <v>131</v>
      </c>
      <c r="D2" s="41">
        <v>6104</v>
      </c>
      <c r="E2" s="33">
        <v>7181</v>
      </c>
      <c r="F2" s="38">
        <v>7568</v>
      </c>
      <c r="G2" s="27">
        <v>8869</v>
      </c>
    </row>
    <row r="3" spans="1:7" x14ac:dyDescent="0.35">
      <c r="A3" s="16" t="s">
        <v>76</v>
      </c>
      <c r="B3" s="3" t="s">
        <v>79</v>
      </c>
      <c r="C3" s="8" t="s">
        <v>106</v>
      </c>
      <c r="D3" s="33">
        <v>7238</v>
      </c>
      <c r="E3" s="33">
        <v>8794</v>
      </c>
      <c r="F3" s="31">
        <v>9557</v>
      </c>
      <c r="G3" s="5">
        <v>11674</v>
      </c>
    </row>
    <row r="4" spans="1:7" x14ac:dyDescent="0.35">
      <c r="A4" s="16" t="s">
        <v>77</v>
      </c>
      <c r="B4" s="3" t="s">
        <v>30</v>
      </c>
      <c r="C4" s="4" t="s">
        <v>116</v>
      </c>
      <c r="D4" s="10">
        <v>8228</v>
      </c>
      <c r="E4" s="10">
        <v>9411</v>
      </c>
      <c r="F4" s="31">
        <v>10722</v>
      </c>
      <c r="G4" s="5">
        <v>12448</v>
      </c>
    </row>
    <row r="5" spans="1:7" x14ac:dyDescent="0.35">
      <c r="A5" s="16" t="s">
        <v>75</v>
      </c>
      <c r="B5" s="9" t="s">
        <v>123</v>
      </c>
      <c r="C5" s="6" t="s">
        <v>124</v>
      </c>
      <c r="D5" s="11">
        <v>25905</v>
      </c>
      <c r="E5" s="11">
        <v>28182</v>
      </c>
      <c r="F5" s="32">
        <v>19112</v>
      </c>
      <c r="G5" s="7"/>
    </row>
    <row r="6" spans="1:7" x14ac:dyDescent="0.35">
      <c r="A6" s="16" t="s">
        <v>75</v>
      </c>
      <c r="B6" s="3" t="s">
        <v>27</v>
      </c>
      <c r="C6" s="12" t="s">
        <v>112</v>
      </c>
      <c r="D6" s="10">
        <v>36560</v>
      </c>
      <c r="E6" s="10">
        <v>35443</v>
      </c>
      <c r="F6" s="31">
        <v>36204</v>
      </c>
      <c r="G6" s="5">
        <v>37244</v>
      </c>
    </row>
    <row r="7" spans="1:7" x14ac:dyDescent="0.35">
      <c r="A7" s="3" t="s">
        <v>75</v>
      </c>
      <c r="B7" s="3" t="s">
        <v>9</v>
      </c>
      <c r="C7" s="6" t="s">
        <v>140</v>
      </c>
      <c r="D7" s="11">
        <v>10853</v>
      </c>
      <c r="E7" s="11">
        <v>16130</v>
      </c>
      <c r="F7" s="32">
        <v>21695</v>
      </c>
      <c r="G7" s="7">
        <v>25115</v>
      </c>
    </row>
    <row r="8" spans="1:7" x14ac:dyDescent="0.35">
      <c r="A8" s="3" t="s">
        <v>75</v>
      </c>
      <c r="B8" s="3" t="s">
        <v>19</v>
      </c>
      <c r="C8" s="4" t="s">
        <v>144</v>
      </c>
      <c r="D8" s="10">
        <v>11235</v>
      </c>
      <c r="E8" s="10">
        <v>15196</v>
      </c>
      <c r="F8" s="31">
        <v>21930</v>
      </c>
      <c r="G8" s="5"/>
    </row>
    <row r="9" spans="1:7" x14ac:dyDescent="0.35">
      <c r="A9" s="3" t="s">
        <v>75</v>
      </c>
      <c r="B9" s="3" t="s">
        <v>180</v>
      </c>
      <c r="C9" s="8" t="s">
        <v>181</v>
      </c>
      <c r="D9" s="33">
        <v>17036</v>
      </c>
      <c r="E9" s="33">
        <v>20518</v>
      </c>
      <c r="F9" s="31">
        <v>21476</v>
      </c>
      <c r="G9" s="5">
        <v>21881</v>
      </c>
    </row>
    <row r="10" spans="1:7" x14ac:dyDescent="0.35">
      <c r="A10" s="16" t="s">
        <v>92</v>
      </c>
      <c r="B10" s="3" t="s">
        <v>113</v>
      </c>
      <c r="C10" s="4" t="s">
        <v>114</v>
      </c>
      <c r="D10" s="10">
        <v>26715</v>
      </c>
      <c r="E10" s="10">
        <v>25660</v>
      </c>
      <c r="F10" s="31">
        <v>28506</v>
      </c>
      <c r="G10" s="5"/>
    </row>
    <row r="11" spans="1:7" x14ac:dyDescent="0.35">
      <c r="A11" s="16" t="s">
        <v>92</v>
      </c>
      <c r="B11" s="3" t="s">
        <v>17</v>
      </c>
      <c r="C11" s="8" t="s">
        <v>115</v>
      </c>
      <c r="D11" s="33">
        <v>48832</v>
      </c>
      <c r="E11" s="33">
        <v>53926</v>
      </c>
      <c r="F11" s="31">
        <v>56640</v>
      </c>
      <c r="G11" s="5"/>
    </row>
    <row r="12" spans="1:7" x14ac:dyDescent="0.35">
      <c r="A12" s="16" t="s">
        <v>92</v>
      </c>
      <c r="B12" s="3" t="s">
        <v>15</v>
      </c>
      <c r="C12" s="4" t="s">
        <v>85</v>
      </c>
      <c r="D12" s="10">
        <v>7661</v>
      </c>
      <c r="E12" s="10">
        <v>9129</v>
      </c>
      <c r="F12" s="31">
        <v>11464</v>
      </c>
      <c r="G12" s="5"/>
    </row>
    <row r="13" spans="1:7" x14ac:dyDescent="0.35">
      <c r="A13" s="16" t="s">
        <v>92</v>
      </c>
      <c r="B13" s="9" t="s">
        <v>13</v>
      </c>
      <c r="C13" s="6" t="s">
        <v>117</v>
      </c>
      <c r="D13" s="11">
        <v>18221</v>
      </c>
      <c r="E13" s="11">
        <v>21847</v>
      </c>
      <c r="F13" s="32">
        <v>23828</v>
      </c>
      <c r="G13" s="7"/>
    </row>
    <row r="14" spans="1:7" x14ac:dyDescent="0.35">
      <c r="A14" s="49" t="s">
        <v>92</v>
      </c>
      <c r="B14" s="43" t="s">
        <v>2</v>
      </c>
      <c r="C14" s="50" t="s">
        <v>111</v>
      </c>
      <c r="D14" s="51">
        <v>51234</v>
      </c>
      <c r="E14" s="51">
        <v>54175</v>
      </c>
      <c r="F14" s="46">
        <v>55499</v>
      </c>
      <c r="G14" s="47"/>
    </row>
    <row r="15" spans="1:7" x14ac:dyDescent="0.35">
      <c r="A15" s="16" t="s">
        <v>92</v>
      </c>
      <c r="B15" s="3" t="s">
        <v>18</v>
      </c>
      <c r="C15" s="8" t="s">
        <v>134</v>
      </c>
      <c r="D15" s="33">
        <v>16848</v>
      </c>
      <c r="E15" s="33">
        <v>17088</v>
      </c>
      <c r="F15" s="31">
        <v>17867</v>
      </c>
      <c r="G15" s="5"/>
    </row>
    <row r="16" spans="1:7" x14ac:dyDescent="0.35">
      <c r="A16" s="3" t="s">
        <v>92</v>
      </c>
      <c r="B16" s="3" t="s">
        <v>32</v>
      </c>
      <c r="C16" s="4" t="s">
        <v>145</v>
      </c>
      <c r="D16" s="10">
        <v>6650</v>
      </c>
      <c r="E16" s="10">
        <v>7490</v>
      </c>
      <c r="F16" s="31">
        <v>9300</v>
      </c>
      <c r="G16" s="5"/>
    </row>
    <row r="17" spans="1:18" x14ac:dyDescent="0.35">
      <c r="A17" s="16" t="s">
        <v>91</v>
      </c>
      <c r="B17" s="3" t="s">
        <v>6</v>
      </c>
      <c r="C17" s="8" t="s">
        <v>122</v>
      </c>
      <c r="D17" s="33">
        <v>10164</v>
      </c>
      <c r="E17" s="33">
        <v>14585</v>
      </c>
      <c r="F17" s="10">
        <v>18508</v>
      </c>
      <c r="G17" s="10"/>
    </row>
    <row r="18" spans="1:18" x14ac:dyDescent="0.35">
      <c r="A18" s="3" t="s">
        <v>91</v>
      </c>
      <c r="B18" s="3" t="s">
        <v>29</v>
      </c>
      <c r="C18" s="4" t="s">
        <v>146</v>
      </c>
      <c r="D18" s="10">
        <v>5467</v>
      </c>
      <c r="E18" s="10">
        <v>6018</v>
      </c>
      <c r="F18" s="10">
        <v>7636</v>
      </c>
      <c r="G18" s="10"/>
    </row>
    <row r="19" spans="1:18" x14ac:dyDescent="0.35">
      <c r="A19" s="3" t="s">
        <v>91</v>
      </c>
      <c r="B19" s="3" t="s">
        <v>147</v>
      </c>
      <c r="C19" s="6" t="s">
        <v>148</v>
      </c>
      <c r="D19" s="11">
        <v>13336</v>
      </c>
      <c r="E19" s="11">
        <v>16501</v>
      </c>
      <c r="F19" s="10" t="s">
        <v>149</v>
      </c>
      <c r="G19" s="10"/>
    </row>
    <row r="20" spans="1:18" x14ac:dyDescent="0.35">
      <c r="A20" s="16" t="s">
        <v>110</v>
      </c>
      <c r="B20" s="3" t="s">
        <v>84</v>
      </c>
      <c r="C20" s="4" t="s">
        <v>135</v>
      </c>
      <c r="D20" s="10">
        <v>28364</v>
      </c>
      <c r="E20" s="10">
        <v>28078</v>
      </c>
      <c r="F20" s="10">
        <v>29363</v>
      </c>
      <c r="G20" s="10"/>
    </row>
    <row r="21" spans="1:18" x14ac:dyDescent="0.35">
      <c r="A21" s="16" t="s">
        <v>110</v>
      </c>
      <c r="B21" s="3" t="s">
        <v>16</v>
      </c>
      <c r="C21" s="4" t="s">
        <v>118</v>
      </c>
      <c r="D21" s="10">
        <v>13297</v>
      </c>
      <c r="E21" s="10">
        <v>20284</v>
      </c>
      <c r="F21" s="10">
        <v>32963</v>
      </c>
      <c r="G21" s="10"/>
    </row>
    <row r="22" spans="1:18" x14ac:dyDescent="0.35">
      <c r="A22" s="16" t="s">
        <v>93</v>
      </c>
      <c r="B22" s="3" t="s">
        <v>7</v>
      </c>
      <c r="C22" s="6" t="s">
        <v>119</v>
      </c>
      <c r="D22" s="11">
        <v>43051</v>
      </c>
      <c r="E22" s="11">
        <v>54168</v>
      </c>
      <c r="F22" s="11">
        <v>48361</v>
      </c>
      <c r="G22" s="11"/>
    </row>
    <row r="23" spans="1:18" x14ac:dyDescent="0.35">
      <c r="A23" s="3" t="s">
        <v>93</v>
      </c>
      <c r="B23" s="3" t="s">
        <v>141</v>
      </c>
      <c r="C23" s="6" t="s">
        <v>143</v>
      </c>
      <c r="D23" s="11">
        <v>5557</v>
      </c>
      <c r="E23" s="11">
        <v>7079</v>
      </c>
      <c r="F23" s="11">
        <v>9544</v>
      </c>
      <c r="G23" s="11"/>
    </row>
    <row r="24" spans="1:18" x14ac:dyDescent="0.35">
      <c r="A24" s="16" t="s">
        <v>95</v>
      </c>
      <c r="B24" s="9" t="s">
        <v>31</v>
      </c>
      <c r="C24" s="6" t="s">
        <v>125</v>
      </c>
      <c r="D24" s="11">
        <v>16069</v>
      </c>
      <c r="E24" s="11">
        <v>16815</v>
      </c>
      <c r="F24" s="11">
        <v>23328</v>
      </c>
      <c r="G24" s="1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x14ac:dyDescent="0.35">
      <c r="A25" s="16" t="s">
        <v>95</v>
      </c>
      <c r="B25" s="3" t="s">
        <v>108</v>
      </c>
      <c r="C25" s="8" t="s">
        <v>120</v>
      </c>
      <c r="D25" s="33">
        <v>48155</v>
      </c>
      <c r="E25" s="33">
        <v>52027</v>
      </c>
      <c r="F25" s="10">
        <v>54187</v>
      </c>
      <c r="G25" s="1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x14ac:dyDescent="0.35">
      <c r="A26" s="3" t="s">
        <v>95</v>
      </c>
      <c r="B26" s="9" t="s">
        <v>22</v>
      </c>
      <c r="C26" s="6" t="s">
        <v>150</v>
      </c>
      <c r="D26" s="28">
        <v>4847</v>
      </c>
      <c r="E26" s="28">
        <v>5720</v>
      </c>
      <c r="F26" s="10">
        <v>9600</v>
      </c>
      <c r="G26" s="1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x14ac:dyDescent="0.35">
      <c r="A27" s="3" t="s">
        <v>95</v>
      </c>
      <c r="B27" s="9" t="s">
        <v>153</v>
      </c>
      <c r="C27" s="6" t="s">
        <v>152</v>
      </c>
      <c r="D27" s="11">
        <v>4563</v>
      </c>
      <c r="E27" s="11">
        <v>6281</v>
      </c>
      <c r="F27" s="11">
        <v>7312</v>
      </c>
      <c r="G27" s="1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x14ac:dyDescent="0.35">
      <c r="A28" s="3" t="s">
        <v>95</v>
      </c>
      <c r="B28" s="3" t="s">
        <v>155</v>
      </c>
      <c r="C28" s="4" t="s">
        <v>154</v>
      </c>
      <c r="D28" s="10">
        <v>16495</v>
      </c>
      <c r="E28" s="10">
        <v>17736</v>
      </c>
      <c r="F28" s="10">
        <v>18503</v>
      </c>
      <c r="G28" s="10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x14ac:dyDescent="0.35">
      <c r="A29" s="3" t="s">
        <v>95</v>
      </c>
      <c r="B29" s="9" t="s">
        <v>33</v>
      </c>
      <c r="C29" s="6" t="s">
        <v>177</v>
      </c>
      <c r="D29" s="11">
        <v>13819</v>
      </c>
      <c r="E29" s="11">
        <v>16167</v>
      </c>
      <c r="F29" s="11">
        <v>30085</v>
      </c>
      <c r="G29" s="1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x14ac:dyDescent="0.35">
      <c r="A30" s="16" t="s">
        <v>104</v>
      </c>
      <c r="B30" s="3" t="s">
        <v>127</v>
      </c>
      <c r="C30" s="4" t="s">
        <v>129</v>
      </c>
      <c r="D30" s="10">
        <v>9758</v>
      </c>
      <c r="E30" s="10">
        <v>8978</v>
      </c>
      <c r="F30" s="10">
        <v>9733</v>
      </c>
      <c r="G30" s="10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x14ac:dyDescent="0.35">
      <c r="A31" s="3" t="s">
        <v>104</v>
      </c>
      <c r="B31" s="3" t="s">
        <v>8</v>
      </c>
      <c r="C31" s="4" t="s">
        <v>121</v>
      </c>
      <c r="D31" s="10">
        <v>51349</v>
      </c>
      <c r="E31" s="10">
        <v>55526</v>
      </c>
      <c r="F31" s="10">
        <v>59124</v>
      </c>
      <c r="G31" s="10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x14ac:dyDescent="0.35">
      <c r="A32" s="16" t="s">
        <v>83</v>
      </c>
      <c r="B32" s="3" t="s">
        <v>26</v>
      </c>
      <c r="C32" s="4" t="s">
        <v>136</v>
      </c>
      <c r="D32" s="10"/>
      <c r="E32" s="10">
        <v>8660</v>
      </c>
      <c r="F32" s="10">
        <v>8933</v>
      </c>
      <c r="G32" s="10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x14ac:dyDescent="0.35">
      <c r="A33" s="16" t="s">
        <v>83</v>
      </c>
      <c r="B33" s="3" t="s">
        <v>24</v>
      </c>
      <c r="C33" s="4" t="s">
        <v>137</v>
      </c>
      <c r="D33" s="10">
        <v>8117</v>
      </c>
      <c r="E33" s="10">
        <v>8099</v>
      </c>
      <c r="F33" s="10">
        <v>8278</v>
      </c>
      <c r="G33" s="10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x14ac:dyDescent="0.35">
      <c r="A34" s="16" t="s">
        <v>83</v>
      </c>
      <c r="B34" s="3" t="s">
        <v>10</v>
      </c>
      <c r="C34" s="6" t="s">
        <v>126</v>
      </c>
      <c r="D34" s="11">
        <v>25905</v>
      </c>
      <c r="E34" s="11">
        <v>28182</v>
      </c>
      <c r="F34" s="11">
        <v>30772</v>
      </c>
      <c r="G34" s="1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35">
      <c r="A35" s="3" t="s">
        <v>83</v>
      </c>
      <c r="B35" s="9" t="s">
        <v>178</v>
      </c>
      <c r="C35" s="6" t="s">
        <v>179</v>
      </c>
      <c r="D35" s="11">
        <v>15151</v>
      </c>
      <c r="E35" s="11">
        <v>18432</v>
      </c>
      <c r="F35" s="11">
        <v>22772</v>
      </c>
      <c r="G35" s="1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1:18" x14ac:dyDescent="0.35">
      <c r="A36" s="57"/>
      <c r="B36" s="57"/>
      <c r="C36" s="65"/>
      <c r="D36" s="66"/>
      <c r="E36" s="66"/>
      <c r="F36" s="67"/>
      <c r="G36" s="67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x14ac:dyDescent="0.35">
      <c r="A37" s="20"/>
      <c r="B37" s="20"/>
      <c r="C37" s="30"/>
      <c r="D37" s="62"/>
      <c r="E37" s="62"/>
      <c r="F37" s="62"/>
      <c r="G37" s="62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x14ac:dyDescent="0.35">
      <c r="A38" s="20"/>
      <c r="B38" s="20"/>
      <c r="C38" s="29"/>
      <c r="D38" s="58"/>
      <c r="E38" s="58"/>
      <c r="F38" s="58"/>
      <c r="G38" s="58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x14ac:dyDescent="0.35">
      <c r="A39" s="20"/>
      <c r="B39" s="20"/>
      <c r="C39" s="29"/>
      <c r="D39" s="61"/>
      <c r="E39" s="61"/>
      <c r="F39" s="59"/>
      <c r="G39" s="59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x14ac:dyDescent="0.35">
      <c r="A40" s="20"/>
      <c r="B40" s="20"/>
      <c r="C40" s="29"/>
      <c r="D40" s="58"/>
      <c r="E40" s="58"/>
      <c r="F40" s="58"/>
      <c r="G40" s="5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x14ac:dyDescent="0.35">
      <c r="A41" s="20"/>
      <c r="B41" s="20"/>
      <c r="C41" s="30"/>
      <c r="D41" s="68"/>
      <c r="E41" s="68"/>
      <c r="F41" s="68"/>
      <c r="G41" s="68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x14ac:dyDescent="0.35">
      <c r="A42" s="20"/>
      <c r="B42" s="20"/>
      <c r="C42" s="30"/>
      <c r="D42" s="62"/>
      <c r="E42" s="62"/>
      <c r="F42" s="59"/>
      <c r="G42" s="59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</row>
    <row r="43" spans="1:18" x14ac:dyDescent="0.35">
      <c r="A43" s="20"/>
      <c r="B43" s="20"/>
      <c r="C43" s="21"/>
      <c r="D43" s="59"/>
      <c r="E43" s="59"/>
      <c r="F43" s="59"/>
      <c r="G43" s="59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 x14ac:dyDescent="0.35">
      <c r="A44" s="20"/>
      <c r="B44" s="20"/>
      <c r="C44" s="30"/>
      <c r="D44" s="62"/>
      <c r="E44" s="62"/>
      <c r="F44" s="59"/>
      <c r="G44" s="59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 spans="1:18" x14ac:dyDescent="0.35">
      <c r="A45" s="20"/>
      <c r="B45" s="60"/>
      <c r="C45" s="29"/>
      <c r="D45" s="58"/>
      <c r="E45" s="58"/>
      <c r="F45" s="58"/>
      <c r="G45" s="58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</row>
    <row r="46" spans="1:18" x14ac:dyDescent="0.35">
      <c r="A46" s="20"/>
      <c r="B46" s="20"/>
      <c r="C46" s="29"/>
      <c r="D46" s="58"/>
      <c r="E46" s="58"/>
      <c r="F46" s="58"/>
      <c r="G46" s="58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x14ac:dyDescent="0.35">
      <c r="A47" s="20"/>
      <c r="B47" s="20"/>
      <c r="C47" s="30"/>
      <c r="D47" s="62"/>
      <c r="E47" s="62"/>
      <c r="F47" s="59"/>
      <c r="G47" s="59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 spans="1:18" x14ac:dyDescent="0.35">
      <c r="A48" s="20"/>
      <c r="B48" s="60"/>
      <c r="C48" s="29"/>
      <c r="D48" s="58"/>
      <c r="E48" s="58"/>
      <c r="F48" s="58"/>
      <c r="G48" s="58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</row>
    <row r="49" spans="1:18" x14ac:dyDescent="0.35">
      <c r="A49" s="20"/>
      <c r="B49" s="60"/>
      <c r="C49" s="29"/>
      <c r="D49" s="58"/>
      <c r="E49" s="58"/>
      <c r="F49" s="58"/>
      <c r="G49" s="58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</row>
    <row r="50" spans="1:18" x14ac:dyDescent="0.35">
      <c r="A50" s="20"/>
      <c r="B50" s="60"/>
      <c r="C50" s="29"/>
      <c r="D50" s="58"/>
      <c r="E50" s="58"/>
      <c r="F50" s="58"/>
      <c r="G50" s="58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</row>
    <row r="51" spans="1:18" x14ac:dyDescent="0.35">
      <c r="A51" s="20"/>
      <c r="B51" s="20"/>
      <c r="C51" s="30"/>
      <c r="D51" s="62"/>
      <c r="E51" s="62"/>
      <c r="F51" s="59"/>
      <c r="G51" s="59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spans="1:18" x14ac:dyDescent="0.35">
      <c r="A52" s="20"/>
      <c r="B52" s="20"/>
      <c r="C52" s="30"/>
      <c r="D52" s="62"/>
      <c r="E52" s="62"/>
      <c r="F52" s="59"/>
      <c r="G52" s="59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 x14ac:dyDescent="0.35">
      <c r="A53" s="20"/>
      <c r="B53" s="20"/>
      <c r="C53" s="21"/>
      <c r="D53" s="59"/>
      <c r="E53" s="59"/>
      <c r="F53" s="59"/>
      <c r="G53" s="59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</row>
    <row r="54" spans="1:18" x14ac:dyDescent="0.35">
      <c r="A54" s="20"/>
      <c r="B54" s="60"/>
      <c r="C54" s="29"/>
      <c r="D54" s="58"/>
      <c r="E54" s="58"/>
      <c r="F54" s="58"/>
      <c r="G54" s="58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 spans="1:18" x14ac:dyDescent="0.35">
      <c r="A55" s="20"/>
      <c r="B55" s="20"/>
      <c r="C55" s="21"/>
      <c r="D55" s="21"/>
      <c r="E55" s="23"/>
      <c r="F55" s="23"/>
      <c r="G55" s="23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1:18" x14ac:dyDescent="0.35">
      <c r="A56" s="20"/>
      <c r="B56" s="20"/>
      <c r="C56" s="21"/>
      <c r="D56" s="21"/>
      <c r="E56" s="23"/>
      <c r="F56" s="23"/>
      <c r="G56" s="23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spans="1:18" x14ac:dyDescent="0.35">
      <c r="A57" s="20"/>
      <c r="B57" s="20"/>
      <c r="C57" s="21"/>
      <c r="D57" s="21"/>
      <c r="E57" s="23"/>
      <c r="F57" s="23"/>
      <c r="G57" s="23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 spans="1:18" x14ac:dyDescent="0.35">
      <c r="A58" s="20"/>
      <c r="B58" s="20"/>
      <c r="C58" s="21"/>
      <c r="D58" s="21"/>
      <c r="E58" s="23"/>
      <c r="F58" s="23"/>
      <c r="G58" s="23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18" x14ac:dyDescent="0.35">
      <c r="A59" s="20"/>
      <c r="B59" s="20"/>
      <c r="C59" s="21"/>
      <c r="D59" s="21"/>
      <c r="E59" s="23"/>
      <c r="F59" s="23"/>
      <c r="G59" s="23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  <row r="60" spans="1:18" x14ac:dyDescent="0.35">
      <c r="A60" s="20"/>
      <c r="B60" s="20"/>
      <c r="C60" s="21"/>
      <c r="D60" s="21"/>
      <c r="E60" s="23"/>
      <c r="F60" s="23"/>
      <c r="G60" s="23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</row>
    <row r="61" spans="1:18" x14ac:dyDescent="0.35">
      <c r="A61" s="20"/>
      <c r="B61" s="20"/>
      <c r="C61" s="21"/>
      <c r="D61" s="21"/>
      <c r="E61" s="23"/>
      <c r="F61" s="23"/>
      <c r="G61" s="23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</row>
    <row r="62" spans="1:18" x14ac:dyDescent="0.35">
      <c r="A62" s="20"/>
      <c r="B62" s="20"/>
      <c r="C62" s="21"/>
      <c r="D62" s="21"/>
      <c r="E62" s="23"/>
      <c r="F62" s="23"/>
      <c r="G62" s="23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 spans="1:18" x14ac:dyDescent="0.35">
      <c r="A63" s="20"/>
      <c r="B63" s="20"/>
      <c r="C63" s="21"/>
      <c r="D63" s="21"/>
      <c r="E63" s="23"/>
      <c r="F63" s="23"/>
      <c r="G63" s="23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</row>
    <row r="64" spans="1:18" x14ac:dyDescent="0.35">
      <c r="A64" s="20"/>
      <c r="B64" s="20"/>
      <c r="C64" s="21"/>
      <c r="D64" s="21"/>
      <c r="E64" s="23"/>
      <c r="F64" s="23"/>
      <c r="G64" s="23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 spans="1:18" x14ac:dyDescent="0.35">
      <c r="A65" s="20"/>
      <c r="B65" s="20"/>
      <c r="C65" s="21"/>
      <c r="D65" s="21"/>
      <c r="E65" s="23"/>
      <c r="F65" s="23"/>
      <c r="G65" s="23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</row>
    <row r="66" spans="1:18" x14ac:dyDescent="0.35">
      <c r="A66" s="20"/>
      <c r="B66" s="20"/>
      <c r="C66" s="21"/>
      <c r="D66" s="21"/>
      <c r="E66" s="23"/>
      <c r="F66" s="23"/>
      <c r="G66" s="23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</row>
    <row r="67" spans="1:18" x14ac:dyDescent="0.35">
      <c r="A67" s="20"/>
      <c r="B67" s="20"/>
      <c r="C67" s="21"/>
      <c r="D67" s="21"/>
      <c r="E67" s="23"/>
      <c r="F67" s="23"/>
      <c r="G67" s="23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</row>
    <row r="68" spans="1:18" x14ac:dyDescent="0.35">
      <c r="A68" s="20"/>
      <c r="B68" s="20"/>
      <c r="C68" s="21"/>
      <c r="D68" s="21"/>
      <c r="E68" s="23"/>
      <c r="F68" s="23"/>
      <c r="G68" s="23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</row>
    <row r="69" spans="1:18" x14ac:dyDescent="0.35">
      <c r="A69" s="20"/>
      <c r="B69" s="20"/>
      <c r="C69" s="21"/>
      <c r="D69" s="21"/>
      <c r="E69" s="23"/>
      <c r="F69" s="23"/>
      <c r="G69" s="23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1:18" x14ac:dyDescent="0.35">
      <c r="A70" s="20"/>
      <c r="B70" s="20"/>
      <c r="C70" s="21"/>
      <c r="D70" s="21"/>
      <c r="E70" s="23"/>
      <c r="F70" s="23"/>
      <c r="G70" s="23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</row>
    <row r="71" spans="1:18" x14ac:dyDescent="0.35">
      <c r="A71" s="20"/>
      <c r="B71" s="20"/>
      <c r="C71" s="21"/>
      <c r="D71" s="21"/>
      <c r="E71" s="23"/>
      <c r="F71" s="23"/>
      <c r="G71" s="23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 spans="1:18" x14ac:dyDescent="0.35">
      <c r="A72" s="20"/>
      <c r="B72" s="20"/>
      <c r="C72" s="21"/>
      <c r="D72" s="21"/>
      <c r="E72" s="23"/>
      <c r="F72" s="23"/>
      <c r="G72" s="23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</row>
    <row r="73" spans="1:18" x14ac:dyDescent="0.35">
      <c r="A73" s="20"/>
      <c r="B73" s="20"/>
      <c r="C73" s="21"/>
      <c r="D73" s="21"/>
      <c r="E73" s="23"/>
      <c r="F73" s="23"/>
      <c r="G73" s="23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</row>
    <row r="74" spans="1:18" x14ac:dyDescent="0.35">
      <c r="A74" s="20"/>
      <c r="B74" s="20"/>
      <c r="C74" s="21"/>
      <c r="D74" s="21"/>
      <c r="E74" s="23"/>
      <c r="F74" s="23"/>
      <c r="G74" s="23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  <row r="75" spans="1:18" x14ac:dyDescent="0.35">
      <c r="A75" s="20"/>
      <c r="B75" s="20"/>
      <c r="C75" s="21"/>
      <c r="D75" s="21"/>
      <c r="E75" s="23"/>
      <c r="F75" s="23"/>
      <c r="G75" s="23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spans="1:18" x14ac:dyDescent="0.35">
      <c r="A76" s="20"/>
      <c r="B76" s="20"/>
      <c r="C76" s="21"/>
      <c r="D76" s="21"/>
      <c r="E76" s="23"/>
      <c r="F76" s="23"/>
      <c r="G76" s="23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 spans="1:18" x14ac:dyDescent="0.35">
      <c r="A77" s="20"/>
      <c r="B77" s="20"/>
      <c r="C77" s="21"/>
      <c r="D77" s="21"/>
      <c r="E77" s="23"/>
      <c r="F77" s="23"/>
      <c r="G77" s="23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18" x14ac:dyDescent="0.35">
      <c r="A78" s="20"/>
      <c r="B78" s="20"/>
      <c r="C78" s="21"/>
      <c r="D78" s="21"/>
      <c r="E78" s="23"/>
      <c r="F78" s="23"/>
      <c r="G78" s="23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</row>
    <row r="79" spans="1:18" x14ac:dyDescent="0.35">
      <c r="A79" s="20"/>
      <c r="B79" s="20"/>
      <c r="C79" s="21"/>
      <c r="D79" s="21"/>
      <c r="E79" s="23"/>
      <c r="F79" s="23"/>
      <c r="G79" s="23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</row>
    <row r="80" spans="1:18" x14ac:dyDescent="0.35">
      <c r="A80" s="20"/>
      <c r="B80" s="20"/>
      <c r="C80" s="21"/>
      <c r="D80" s="21"/>
      <c r="E80" s="23"/>
      <c r="F80" s="23"/>
      <c r="G80" s="23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</row>
    <row r="81" spans="1:18" x14ac:dyDescent="0.35">
      <c r="A81" s="20"/>
      <c r="B81" s="20"/>
      <c r="C81" s="21"/>
      <c r="D81" s="21"/>
      <c r="E81" s="23"/>
      <c r="F81" s="23"/>
      <c r="G81" s="23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spans="1:18" x14ac:dyDescent="0.35">
      <c r="A82" s="20"/>
      <c r="B82" s="20"/>
      <c r="C82" s="21"/>
      <c r="D82" s="21"/>
      <c r="E82" s="23"/>
      <c r="F82" s="23"/>
      <c r="G82" s="23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 spans="1:18" x14ac:dyDescent="0.35">
      <c r="A83" s="20"/>
      <c r="B83" s="20"/>
      <c r="C83" s="21"/>
      <c r="D83" s="21"/>
      <c r="E83" s="23"/>
      <c r="F83" s="23"/>
      <c r="G83" s="23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 x14ac:dyDescent="0.35">
      <c r="A84" s="20"/>
      <c r="B84" s="20"/>
      <c r="C84" s="21"/>
      <c r="D84" s="21"/>
      <c r="E84" s="23"/>
      <c r="F84" s="23"/>
      <c r="G84" s="23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 x14ac:dyDescent="0.35">
      <c r="A85" s="20"/>
      <c r="B85" s="20"/>
      <c r="C85" s="21"/>
      <c r="D85" s="21"/>
      <c r="E85" s="23"/>
      <c r="F85" s="23"/>
      <c r="G85" s="23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 spans="1:18" x14ac:dyDescent="0.35">
      <c r="A86" s="20"/>
      <c r="B86" s="20"/>
      <c r="C86" s="21"/>
      <c r="D86" s="21"/>
      <c r="E86" s="23"/>
      <c r="F86" s="23"/>
      <c r="G86" s="23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 spans="1:18" x14ac:dyDescent="0.35">
      <c r="A87" s="20"/>
      <c r="B87" s="20"/>
      <c r="C87" s="21"/>
      <c r="D87" s="21"/>
      <c r="E87" s="23"/>
      <c r="F87" s="23"/>
      <c r="G87" s="23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</row>
    <row r="88" spans="1:18" x14ac:dyDescent="0.35">
      <c r="A88" s="20"/>
      <c r="B88" s="20"/>
      <c r="C88" s="21"/>
      <c r="D88" s="21"/>
      <c r="E88" s="23"/>
      <c r="F88" s="23"/>
      <c r="G88" s="23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18" x14ac:dyDescent="0.35">
      <c r="A89" s="20"/>
      <c r="B89" s="20"/>
      <c r="C89" s="21"/>
      <c r="D89" s="21"/>
      <c r="E89" s="23"/>
      <c r="F89" s="23"/>
      <c r="G89" s="23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</row>
    <row r="90" spans="1:18" x14ac:dyDescent="0.35">
      <c r="A90" s="20"/>
      <c r="B90" s="20"/>
      <c r="C90" s="21"/>
      <c r="D90" s="21"/>
      <c r="E90" s="23"/>
      <c r="F90" s="23"/>
      <c r="G90" s="23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</row>
    <row r="91" spans="1:18" x14ac:dyDescent="0.35">
      <c r="A91" s="20"/>
      <c r="B91" s="20"/>
      <c r="C91" s="21"/>
      <c r="D91" s="21"/>
      <c r="E91" s="23"/>
      <c r="F91" s="23"/>
      <c r="G91" s="23"/>
      <c r="H91" s="21"/>
      <c r="I91" s="21"/>
      <c r="J91" s="21"/>
    </row>
    <row r="92" spans="1:18" x14ac:dyDescent="0.35">
      <c r="A92" s="20"/>
      <c r="B92" s="20"/>
      <c r="C92" s="21"/>
      <c r="D92" s="21"/>
      <c r="E92" s="23"/>
      <c r="F92" s="23"/>
      <c r="G92" s="23"/>
      <c r="H92" s="21"/>
      <c r="I92" s="21"/>
      <c r="J92" s="21"/>
    </row>
    <row r="93" spans="1:18" x14ac:dyDescent="0.35">
      <c r="A93" s="20"/>
      <c r="B93" s="20"/>
      <c r="C93" s="21"/>
      <c r="D93" s="21"/>
      <c r="E93" s="23"/>
      <c r="F93" s="23"/>
      <c r="G93" s="23"/>
      <c r="H93" s="21"/>
      <c r="I93" s="21"/>
      <c r="J93" s="21"/>
    </row>
    <row r="94" spans="1:18" x14ac:dyDescent="0.35">
      <c r="A94" s="20"/>
      <c r="B94" s="20"/>
      <c r="C94" s="21"/>
      <c r="D94" s="21"/>
      <c r="E94" s="23"/>
      <c r="F94" s="23"/>
      <c r="G94" s="23"/>
      <c r="H94" s="21"/>
      <c r="I94" s="21"/>
      <c r="J94" s="21"/>
    </row>
    <row r="95" spans="1:18" x14ac:dyDescent="0.35">
      <c r="A95" s="20"/>
      <c r="B95" s="20"/>
      <c r="C95" s="21"/>
      <c r="D95" s="21"/>
      <c r="E95" s="23"/>
      <c r="F95" s="23"/>
      <c r="G95" s="23"/>
      <c r="H95" s="21"/>
      <c r="I95" s="21"/>
      <c r="J95" s="21"/>
    </row>
    <row r="96" spans="1:18" x14ac:dyDescent="0.35">
      <c r="A96" s="20"/>
      <c r="B96" s="20"/>
      <c r="C96" s="21"/>
      <c r="D96" s="21"/>
      <c r="E96" s="23"/>
      <c r="F96" s="23"/>
      <c r="G96" s="23"/>
      <c r="H96" s="21"/>
      <c r="I96" s="21"/>
      <c r="J96" s="21"/>
    </row>
    <row r="97" spans="1:10" x14ac:dyDescent="0.35">
      <c r="A97" s="20"/>
      <c r="B97" s="20"/>
      <c r="C97" s="21"/>
      <c r="D97" s="21"/>
      <c r="E97" s="23"/>
      <c r="F97" s="23"/>
      <c r="G97" s="23"/>
      <c r="H97" s="21"/>
      <c r="I97" s="21"/>
      <c r="J97" s="21"/>
    </row>
    <row r="98" spans="1:10" x14ac:dyDescent="0.35">
      <c r="A98" s="20"/>
      <c r="B98" s="20"/>
      <c r="C98" s="21"/>
      <c r="D98" s="21"/>
      <c r="E98" s="23"/>
      <c r="F98" s="23"/>
      <c r="G98" s="23"/>
      <c r="H98" s="21"/>
      <c r="I98" s="21"/>
      <c r="J98" s="21"/>
    </row>
    <row r="99" spans="1:10" x14ac:dyDescent="0.35">
      <c r="A99" s="20"/>
      <c r="B99" s="20"/>
      <c r="C99" s="21"/>
      <c r="D99" s="21"/>
      <c r="E99" s="23"/>
      <c r="F99" s="23"/>
      <c r="G99" s="23"/>
      <c r="H99" s="21"/>
      <c r="I99" s="21"/>
      <c r="J99" s="21"/>
    </row>
    <row r="100" spans="1:10" x14ac:dyDescent="0.35">
      <c r="A100" s="20"/>
      <c r="B100" s="20"/>
      <c r="C100" s="21"/>
      <c r="D100" s="21"/>
      <c r="E100" s="23"/>
      <c r="F100" s="23"/>
      <c r="G100" s="23"/>
      <c r="H100" s="21"/>
      <c r="I100" s="21"/>
      <c r="J100" s="21"/>
    </row>
    <row r="101" spans="1:10" x14ac:dyDescent="0.35">
      <c r="A101" s="20"/>
      <c r="B101" s="20"/>
      <c r="C101" s="21"/>
      <c r="D101" s="21"/>
      <c r="E101" s="23"/>
      <c r="F101" s="23"/>
      <c r="G101" s="23"/>
      <c r="H101" s="21"/>
      <c r="I101" s="21"/>
      <c r="J101" s="21"/>
    </row>
    <row r="102" spans="1:10" x14ac:dyDescent="0.35">
      <c r="A102" s="20"/>
      <c r="B102" s="20"/>
      <c r="C102" s="21"/>
      <c r="D102" s="21"/>
      <c r="E102" s="23"/>
      <c r="F102" s="23"/>
      <c r="G102" s="23"/>
      <c r="H102" s="21"/>
      <c r="I102" s="21"/>
      <c r="J102" s="21"/>
    </row>
    <row r="103" spans="1:10" x14ac:dyDescent="0.35">
      <c r="A103" s="20"/>
      <c r="B103" s="20"/>
      <c r="C103" s="21"/>
      <c r="D103" s="21"/>
      <c r="E103" s="23"/>
      <c r="F103" s="23"/>
      <c r="G103" s="23"/>
      <c r="H103" s="21"/>
      <c r="I103" s="21"/>
      <c r="J103" s="21"/>
    </row>
    <row r="104" spans="1:10" x14ac:dyDescent="0.35">
      <c r="A104" s="20"/>
      <c r="B104" s="20"/>
      <c r="C104" s="21"/>
      <c r="D104" s="21"/>
      <c r="E104" s="23"/>
      <c r="F104" s="23"/>
      <c r="G104" s="23"/>
      <c r="H104" s="21"/>
      <c r="I104" s="21"/>
      <c r="J104" s="21"/>
    </row>
    <row r="105" spans="1:10" x14ac:dyDescent="0.35">
      <c r="A105" s="20"/>
      <c r="B105" s="20"/>
      <c r="C105" s="21"/>
      <c r="D105" s="21"/>
      <c r="E105" s="23"/>
      <c r="F105" s="23"/>
      <c r="G105" s="23"/>
      <c r="H105" s="21"/>
      <c r="I105" s="21"/>
      <c r="J105" s="21"/>
    </row>
    <row r="106" spans="1:10" x14ac:dyDescent="0.35">
      <c r="A106" s="20"/>
      <c r="B106" s="20"/>
      <c r="C106" s="21"/>
      <c r="D106" s="21"/>
      <c r="E106" s="23"/>
      <c r="F106" s="23"/>
      <c r="G106" s="23"/>
      <c r="H106" s="21"/>
      <c r="I106" s="21"/>
      <c r="J106" s="21"/>
    </row>
    <row r="107" spans="1:10" x14ac:dyDescent="0.35">
      <c r="A107" s="20"/>
      <c r="B107" s="20"/>
      <c r="C107" s="21"/>
      <c r="D107" s="21"/>
      <c r="E107" s="23"/>
      <c r="F107" s="23"/>
      <c r="G107" s="23"/>
      <c r="H107" s="21"/>
      <c r="I107" s="21"/>
      <c r="J107" s="21"/>
    </row>
    <row r="108" spans="1:10" x14ac:dyDescent="0.35">
      <c r="A108" s="20"/>
      <c r="B108" s="20"/>
      <c r="C108" s="21"/>
      <c r="D108" s="21"/>
      <c r="E108" s="23"/>
      <c r="F108" s="23"/>
      <c r="G108" s="23"/>
      <c r="H108" s="21"/>
      <c r="I108" s="21"/>
      <c r="J108" s="21"/>
    </row>
    <row r="109" spans="1:10" x14ac:dyDescent="0.35">
      <c r="A109" s="20"/>
      <c r="B109" s="20"/>
      <c r="C109" s="21"/>
      <c r="D109" s="21"/>
      <c r="E109" s="23"/>
      <c r="F109" s="23"/>
      <c r="G109" s="23"/>
      <c r="H109" s="21"/>
      <c r="I109" s="21"/>
      <c r="J109" s="21"/>
    </row>
    <row r="110" spans="1:10" x14ac:dyDescent="0.35">
      <c r="A110" s="20"/>
      <c r="B110" s="20"/>
      <c r="C110" s="21"/>
      <c r="D110" s="21"/>
      <c r="E110" s="23"/>
      <c r="F110" s="23"/>
      <c r="G110" s="23"/>
      <c r="H110" s="21"/>
      <c r="I110" s="21"/>
      <c r="J110" s="21"/>
    </row>
    <row r="111" spans="1:10" x14ac:dyDescent="0.35">
      <c r="A111" s="20"/>
      <c r="B111" s="20"/>
      <c r="C111" s="21"/>
      <c r="D111" s="21"/>
      <c r="E111" s="23"/>
      <c r="F111" s="23"/>
      <c r="G111" s="23"/>
      <c r="H111" s="21"/>
      <c r="I111" s="21"/>
      <c r="J111" s="21"/>
    </row>
    <row r="112" spans="1:10" x14ac:dyDescent="0.35">
      <c r="A112" s="20"/>
      <c r="B112" s="20"/>
      <c r="C112" s="21"/>
      <c r="D112" s="21"/>
      <c r="E112" s="23"/>
      <c r="F112" s="23"/>
      <c r="G112" s="23"/>
      <c r="H112" s="21"/>
      <c r="I112" s="21"/>
      <c r="J112" s="21"/>
    </row>
    <row r="113" spans="1:10" x14ac:dyDescent="0.35">
      <c r="A113" s="20"/>
      <c r="B113" s="20"/>
      <c r="C113" s="21"/>
      <c r="D113" s="21"/>
      <c r="E113" s="23"/>
      <c r="F113" s="23"/>
      <c r="G113" s="23"/>
      <c r="H113" s="21"/>
      <c r="I113" s="21"/>
      <c r="J113" s="21"/>
    </row>
    <row r="114" spans="1:10" x14ac:dyDescent="0.35">
      <c r="A114" s="20"/>
      <c r="B114" s="20"/>
      <c r="C114" s="21"/>
      <c r="D114" s="21"/>
      <c r="E114" s="23"/>
      <c r="F114" s="23"/>
      <c r="G114" s="23"/>
      <c r="H114" s="21"/>
      <c r="I114" s="21"/>
      <c r="J114" s="21"/>
    </row>
    <row r="115" spans="1:10" x14ac:dyDescent="0.35">
      <c r="A115" s="20"/>
      <c r="B115" s="20"/>
      <c r="C115" s="21"/>
      <c r="D115" s="21"/>
      <c r="E115" s="23"/>
      <c r="F115" s="23"/>
      <c r="G115" s="23"/>
      <c r="H115" s="21"/>
      <c r="I115" s="21"/>
      <c r="J115" s="21"/>
    </row>
    <row r="116" spans="1:10" x14ac:dyDescent="0.35">
      <c r="A116" s="20"/>
      <c r="B116" s="20"/>
      <c r="C116" s="21"/>
      <c r="D116" s="21"/>
      <c r="E116" s="23"/>
      <c r="F116" s="23"/>
      <c r="G116" s="23"/>
      <c r="H116" s="21"/>
      <c r="I116" s="21"/>
      <c r="J116" s="21"/>
    </row>
    <row r="117" spans="1:10" x14ac:dyDescent="0.35">
      <c r="A117" s="20"/>
      <c r="B117" s="20"/>
      <c r="C117" s="21"/>
      <c r="D117" s="21"/>
      <c r="E117" s="23"/>
      <c r="F117" s="23"/>
      <c r="G117" s="23"/>
      <c r="H117" s="21"/>
      <c r="I117" s="21"/>
      <c r="J117" s="21"/>
    </row>
    <row r="118" spans="1:10" x14ac:dyDescent="0.35">
      <c r="A118" s="20"/>
      <c r="B118" s="20"/>
      <c r="C118" s="21"/>
      <c r="D118" s="21"/>
      <c r="E118" s="23"/>
      <c r="F118" s="23"/>
      <c r="G118" s="23"/>
      <c r="H118" s="21"/>
      <c r="I118" s="21"/>
      <c r="J118" s="21"/>
    </row>
    <row r="119" spans="1:10" x14ac:dyDescent="0.35">
      <c r="A119" s="20"/>
      <c r="B119" s="20"/>
      <c r="C119" s="21"/>
      <c r="D119" s="21"/>
      <c r="E119" s="23"/>
      <c r="F119" s="23"/>
      <c r="G119" s="23"/>
      <c r="H119" s="21"/>
      <c r="I119" s="21"/>
      <c r="J119" s="21"/>
    </row>
    <row r="120" spans="1:10" x14ac:dyDescent="0.35">
      <c r="A120" s="20"/>
      <c r="B120" s="20"/>
      <c r="C120" s="21"/>
      <c r="D120" s="21"/>
      <c r="E120" s="23"/>
      <c r="F120" s="23"/>
      <c r="G120" s="23"/>
      <c r="H120" s="21"/>
      <c r="I120" s="21"/>
      <c r="J120" s="21"/>
    </row>
    <row r="121" spans="1:10" x14ac:dyDescent="0.35">
      <c r="A121" s="20"/>
      <c r="B121" s="20"/>
      <c r="C121" s="21"/>
      <c r="D121" s="21"/>
      <c r="E121" s="23"/>
      <c r="F121" s="23"/>
      <c r="G121" s="23"/>
      <c r="H121" s="21"/>
      <c r="I121" s="21"/>
      <c r="J121" s="21"/>
    </row>
    <row r="122" spans="1:10" x14ac:dyDescent="0.35">
      <c r="A122" s="20"/>
      <c r="B122" s="20"/>
      <c r="C122" s="21"/>
      <c r="D122" s="21"/>
      <c r="E122" s="23"/>
      <c r="F122" s="23"/>
      <c r="G122" s="23"/>
      <c r="H122" s="21"/>
      <c r="I122" s="21"/>
      <c r="J122" s="21"/>
    </row>
    <row r="123" spans="1:10" x14ac:dyDescent="0.35">
      <c r="A123" s="20"/>
      <c r="B123" s="20"/>
      <c r="C123" s="21"/>
      <c r="D123" s="21"/>
      <c r="E123" s="23"/>
      <c r="F123" s="23"/>
      <c r="G123" s="23"/>
      <c r="H123" s="21"/>
      <c r="I123" s="21"/>
      <c r="J123" s="21"/>
    </row>
    <row r="124" spans="1:10" x14ac:dyDescent="0.35">
      <c r="A124" s="20"/>
      <c r="B124" s="20"/>
      <c r="C124" s="21"/>
      <c r="D124" s="21"/>
      <c r="E124" s="23"/>
      <c r="F124" s="23"/>
      <c r="G124" s="23"/>
      <c r="H124" s="21"/>
      <c r="I124" s="21"/>
      <c r="J124" s="21"/>
    </row>
    <row r="125" spans="1:10" x14ac:dyDescent="0.35">
      <c r="A125" s="20"/>
      <c r="B125" s="20"/>
      <c r="C125" s="21"/>
      <c r="D125" s="21"/>
      <c r="E125" s="23"/>
      <c r="F125" s="23"/>
      <c r="G125" s="23"/>
      <c r="H125" s="21"/>
      <c r="I125" s="21"/>
      <c r="J125" s="21"/>
    </row>
    <row r="126" spans="1:10" x14ac:dyDescent="0.35">
      <c r="A126" s="20"/>
      <c r="B126" s="20"/>
      <c r="C126" s="21"/>
      <c r="D126" s="21"/>
      <c r="E126" s="23"/>
      <c r="F126" s="23"/>
      <c r="G126" s="23"/>
      <c r="H126" s="21"/>
      <c r="I126" s="21"/>
      <c r="J126" s="21"/>
    </row>
    <row r="127" spans="1:10" x14ac:dyDescent="0.35">
      <c r="A127" s="20"/>
      <c r="B127" s="20"/>
      <c r="C127" s="21"/>
      <c r="D127" s="21"/>
      <c r="E127" s="23"/>
      <c r="F127" s="23"/>
      <c r="G127" s="23"/>
      <c r="H127" s="21"/>
      <c r="I127" s="21"/>
      <c r="J127" s="21"/>
    </row>
    <row r="128" spans="1:10" x14ac:dyDescent="0.35">
      <c r="A128" s="20"/>
      <c r="B128" s="20"/>
      <c r="C128" s="21"/>
      <c r="D128" s="21"/>
      <c r="E128" s="23"/>
      <c r="F128" s="23"/>
      <c r="G128" s="23"/>
      <c r="H128" s="21"/>
      <c r="I128" s="21"/>
      <c r="J128" s="21"/>
    </row>
  </sheetData>
  <autoFilter ref="A1:G1" xr:uid="{29B38C84-3227-4A80-8AF0-36625566A7B7}">
    <sortState xmlns:xlrd2="http://schemas.microsoft.com/office/spreadsheetml/2017/richdata2" ref="A2:G35">
      <sortCondition ref="A2:A35" customList="janvier,février,mars,avril,mai,juin,juillet,août,septembre,octobre,novembre,décembre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258-C13C-4A15-BD65-CFFD1A50B5DE}">
  <dimension ref="A1:K128"/>
  <sheetViews>
    <sheetView workbookViewId="0">
      <selection activeCell="H37" sqref="H37"/>
    </sheetView>
  </sheetViews>
  <sheetFormatPr baseColWidth="10" defaultRowHeight="14.5" x14ac:dyDescent="0.35"/>
  <cols>
    <col min="1" max="1" width="12" style="17" customWidth="1"/>
    <col min="2" max="2" width="17.08984375" style="14" bestFit="1" customWidth="1"/>
    <col min="3" max="3" width="17.08984375" style="14" customWidth="1"/>
    <col min="4" max="4" width="48.1796875" bestFit="1" customWidth="1"/>
    <col min="5" max="5" width="11" style="18" customWidth="1"/>
    <col min="6" max="7" width="11" style="24" customWidth="1"/>
    <col min="8" max="8" width="11.08984375" style="24" customWidth="1"/>
  </cols>
  <sheetData>
    <row r="1" spans="1:8" x14ac:dyDescent="0.35">
      <c r="A1" s="15" t="s">
        <v>74</v>
      </c>
      <c r="B1" s="1" t="s">
        <v>0</v>
      </c>
      <c r="C1" s="1" t="s">
        <v>195</v>
      </c>
      <c r="D1" s="2" t="s">
        <v>1</v>
      </c>
      <c r="E1" s="2">
        <v>2023</v>
      </c>
      <c r="F1" s="2">
        <v>2024</v>
      </c>
      <c r="G1" s="13">
        <v>2025</v>
      </c>
      <c r="H1" s="13">
        <v>2026</v>
      </c>
    </row>
    <row r="2" spans="1:8" x14ac:dyDescent="0.35">
      <c r="A2" s="16" t="s">
        <v>76</v>
      </c>
      <c r="B2" s="25" t="s">
        <v>30</v>
      </c>
      <c r="C2" s="25" t="s">
        <v>158</v>
      </c>
      <c r="D2" s="26" t="s">
        <v>66</v>
      </c>
      <c r="E2" s="41"/>
      <c r="F2" s="33">
        <v>12135</v>
      </c>
      <c r="G2" s="38">
        <v>13684</v>
      </c>
      <c r="H2" s="27">
        <v>16741</v>
      </c>
    </row>
    <row r="3" spans="1:8" x14ac:dyDescent="0.35">
      <c r="A3" s="3" t="s">
        <v>76</v>
      </c>
      <c r="B3" s="3" t="s">
        <v>25</v>
      </c>
      <c r="C3" s="3" t="s">
        <v>158</v>
      </c>
      <c r="D3" s="6" t="s">
        <v>78</v>
      </c>
      <c r="E3" s="28"/>
      <c r="F3" s="28"/>
      <c r="G3" s="31">
        <v>13416</v>
      </c>
      <c r="H3" s="5">
        <v>16281</v>
      </c>
    </row>
    <row r="4" spans="1:8" x14ac:dyDescent="0.35">
      <c r="A4" s="16" t="s">
        <v>76</v>
      </c>
      <c r="B4" s="9" t="s">
        <v>28</v>
      </c>
      <c r="C4" s="9" t="s">
        <v>158</v>
      </c>
      <c r="D4" s="6" t="s">
        <v>64</v>
      </c>
      <c r="E4" s="11"/>
      <c r="F4" s="11">
        <v>13715</v>
      </c>
      <c r="G4" s="32">
        <v>14479</v>
      </c>
      <c r="H4" s="7">
        <v>14294</v>
      </c>
    </row>
    <row r="5" spans="1:8" x14ac:dyDescent="0.35">
      <c r="A5" s="16" t="s">
        <v>76</v>
      </c>
      <c r="B5" s="9" t="s">
        <v>10</v>
      </c>
      <c r="C5" s="9" t="s">
        <v>157</v>
      </c>
      <c r="D5" s="6" t="s">
        <v>156</v>
      </c>
      <c r="E5" s="11">
        <v>9811</v>
      </c>
      <c r="F5" s="11">
        <v>10968</v>
      </c>
      <c r="G5" s="32">
        <v>13011</v>
      </c>
      <c r="H5" s="7">
        <v>14132</v>
      </c>
    </row>
    <row r="6" spans="1:8" x14ac:dyDescent="0.35">
      <c r="A6" s="3" t="s">
        <v>76</v>
      </c>
      <c r="B6" s="9" t="s">
        <v>79</v>
      </c>
      <c r="C6" s="9" t="s">
        <v>158</v>
      </c>
      <c r="D6" s="6" t="s">
        <v>106</v>
      </c>
      <c r="E6" s="28"/>
      <c r="F6" s="28"/>
      <c r="G6" s="31">
        <f>11369+84</f>
        <v>11453</v>
      </c>
      <c r="H6" s="5">
        <f>12623+111</f>
        <v>12734</v>
      </c>
    </row>
    <row r="7" spans="1:8" x14ac:dyDescent="0.35">
      <c r="A7" s="16" t="s">
        <v>76</v>
      </c>
      <c r="B7" s="3" t="s">
        <v>79</v>
      </c>
      <c r="C7" s="3" t="s">
        <v>159</v>
      </c>
      <c r="D7" s="8" t="s">
        <v>106</v>
      </c>
      <c r="E7" s="33">
        <v>7238</v>
      </c>
      <c r="F7" s="33">
        <v>8794</v>
      </c>
      <c r="G7" s="31">
        <v>9557</v>
      </c>
      <c r="H7" s="5">
        <v>11674</v>
      </c>
    </row>
    <row r="8" spans="1:8" x14ac:dyDescent="0.35">
      <c r="A8" s="49" t="s">
        <v>76</v>
      </c>
      <c r="B8" s="43" t="s">
        <v>2</v>
      </c>
      <c r="C8" s="43" t="s">
        <v>157</v>
      </c>
      <c r="D8" s="44" t="s">
        <v>171</v>
      </c>
      <c r="E8" s="45" t="s">
        <v>172</v>
      </c>
      <c r="F8" s="45" t="s">
        <v>172</v>
      </c>
      <c r="G8" s="46" t="s">
        <v>172</v>
      </c>
      <c r="H8" s="47">
        <v>10984</v>
      </c>
    </row>
    <row r="9" spans="1:8" x14ac:dyDescent="0.35">
      <c r="A9" s="16" t="s">
        <v>76</v>
      </c>
      <c r="B9" s="3" t="s">
        <v>28</v>
      </c>
      <c r="C9" s="3" t="s">
        <v>159</v>
      </c>
      <c r="D9" s="8" t="s">
        <v>131</v>
      </c>
      <c r="E9" s="33">
        <v>6104</v>
      </c>
      <c r="F9" s="33">
        <v>7181</v>
      </c>
      <c r="G9" s="31">
        <v>7568</v>
      </c>
      <c r="H9" s="5">
        <v>8869</v>
      </c>
    </row>
    <row r="10" spans="1:8" x14ac:dyDescent="0.35">
      <c r="A10" s="3" t="s">
        <v>76</v>
      </c>
      <c r="B10" s="3" t="s">
        <v>80</v>
      </c>
      <c r="C10" s="3" t="s">
        <v>158</v>
      </c>
      <c r="D10" s="4" t="s">
        <v>107</v>
      </c>
      <c r="E10" s="10">
        <v>288</v>
      </c>
      <c r="F10" s="10">
        <v>499</v>
      </c>
      <c r="G10" s="31">
        <v>3640</v>
      </c>
      <c r="H10" s="5">
        <v>5945</v>
      </c>
    </row>
    <row r="11" spans="1:8" x14ac:dyDescent="0.35">
      <c r="A11" s="16" t="s">
        <v>76</v>
      </c>
      <c r="B11" s="9" t="s">
        <v>12</v>
      </c>
      <c r="C11" s="9" t="s">
        <v>158</v>
      </c>
      <c r="D11" s="6" t="s">
        <v>52</v>
      </c>
      <c r="E11" s="11"/>
      <c r="F11" s="11"/>
      <c r="G11" s="32">
        <v>22872</v>
      </c>
      <c r="H11" s="7"/>
    </row>
    <row r="12" spans="1:8" x14ac:dyDescent="0.35">
      <c r="A12" s="16" t="s">
        <v>77</v>
      </c>
      <c r="B12" s="3" t="s">
        <v>9</v>
      </c>
      <c r="C12" s="3" t="s">
        <v>158</v>
      </c>
      <c r="D12" s="8" t="s">
        <v>48</v>
      </c>
      <c r="E12" s="33">
        <v>17624</v>
      </c>
      <c r="F12" s="33">
        <v>24104</v>
      </c>
      <c r="G12" s="31">
        <v>26961</v>
      </c>
      <c r="H12" s="5">
        <v>31103</v>
      </c>
    </row>
    <row r="13" spans="1:8" x14ac:dyDescent="0.35">
      <c r="A13" s="49" t="s">
        <v>77</v>
      </c>
      <c r="B13" s="54" t="s">
        <v>17</v>
      </c>
      <c r="C13" s="54" t="s">
        <v>157</v>
      </c>
      <c r="D13" s="55" t="s">
        <v>190</v>
      </c>
      <c r="E13" s="56">
        <v>13706</v>
      </c>
      <c r="F13" s="56">
        <v>17821</v>
      </c>
      <c r="G13" s="69">
        <v>19820</v>
      </c>
      <c r="H13" s="70">
        <v>20049</v>
      </c>
    </row>
    <row r="14" spans="1:8" x14ac:dyDescent="0.35">
      <c r="A14" s="16" t="s">
        <v>77</v>
      </c>
      <c r="B14" s="3" t="s">
        <v>30</v>
      </c>
      <c r="C14" s="3" t="s">
        <v>159</v>
      </c>
      <c r="D14" s="4" t="s">
        <v>116</v>
      </c>
      <c r="E14" s="10">
        <v>8228</v>
      </c>
      <c r="F14" s="10">
        <v>9411</v>
      </c>
      <c r="G14" s="31">
        <v>10722</v>
      </c>
      <c r="H14" s="5">
        <v>12448</v>
      </c>
    </row>
    <row r="15" spans="1:8" x14ac:dyDescent="0.35">
      <c r="A15" s="16" t="s">
        <v>77</v>
      </c>
      <c r="B15" s="3" t="s">
        <v>35</v>
      </c>
      <c r="C15" s="3" t="s">
        <v>158</v>
      </c>
      <c r="D15" s="4" t="s">
        <v>88</v>
      </c>
      <c r="E15" s="10">
        <v>11865</v>
      </c>
      <c r="F15" s="10">
        <v>11959</v>
      </c>
      <c r="G15" s="31">
        <v>11949</v>
      </c>
      <c r="H15" s="5">
        <v>12077</v>
      </c>
    </row>
    <row r="16" spans="1:8" x14ac:dyDescent="0.35">
      <c r="A16" s="3" t="s">
        <v>77</v>
      </c>
      <c r="B16" s="3" t="s">
        <v>132</v>
      </c>
      <c r="C16" s="3" t="s">
        <v>158</v>
      </c>
      <c r="D16" s="4" t="s">
        <v>133</v>
      </c>
      <c r="E16" s="42"/>
      <c r="F16" s="10">
        <v>2942</v>
      </c>
      <c r="G16" s="31">
        <v>7917</v>
      </c>
      <c r="H16" s="5">
        <v>11247</v>
      </c>
    </row>
    <row r="17" spans="1:8" x14ac:dyDescent="0.35">
      <c r="A17" s="3" t="s">
        <v>77</v>
      </c>
      <c r="B17" s="3" t="s">
        <v>138</v>
      </c>
      <c r="C17" s="3" t="s">
        <v>158</v>
      </c>
      <c r="D17" s="4" t="s">
        <v>139</v>
      </c>
      <c r="E17" s="19"/>
      <c r="F17" s="10"/>
      <c r="G17" s="10"/>
      <c r="H17" s="10">
        <v>9638</v>
      </c>
    </row>
    <row r="18" spans="1:8" x14ac:dyDescent="0.35">
      <c r="A18" s="3" t="s">
        <v>77</v>
      </c>
      <c r="B18" s="3" t="s">
        <v>81</v>
      </c>
      <c r="C18" s="3" t="s">
        <v>158</v>
      </c>
      <c r="D18" s="4" t="s">
        <v>82</v>
      </c>
      <c r="E18" s="10"/>
      <c r="F18" s="10"/>
      <c r="G18" s="10">
        <v>5732</v>
      </c>
      <c r="H18" s="10">
        <v>7774</v>
      </c>
    </row>
    <row r="19" spans="1:8" x14ac:dyDescent="0.35">
      <c r="A19" s="49" t="s">
        <v>75</v>
      </c>
      <c r="B19" s="43" t="s">
        <v>2</v>
      </c>
      <c r="C19" s="43" t="s">
        <v>158</v>
      </c>
      <c r="D19" s="50" t="s">
        <v>164</v>
      </c>
      <c r="E19" s="51">
        <v>45387</v>
      </c>
      <c r="F19" s="51">
        <v>47856</v>
      </c>
      <c r="G19" s="51">
        <v>47633</v>
      </c>
      <c r="H19" s="51">
        <v>49234</v>
      </c>
    </row>
    <row r="20" spans="1:8" x14ac:dyDescent="0.35">
      <c r="A20" s="16" t="s">
        <v>75</v>
      </c>
      <c r="B20" s="3" t="s">
        <v>27</v>
      </c>
      <c r="C20" s="3" t="s">
        <v>159</v>
      </c>
      <c r="D20" s="12" t="s">
        <v>112</v>
      </c>
      <c r="E20" s="10">
        <v>36560</v>
      </c>
      <c r="F20" s="10">
        <v>35443</v>
      </c>
      <c r="G20" s="10">
        <v>36204</v>
      </c>
      <c r="H20" s="10">
        <v>37244</v>
      </c>
    </row>
    <row r="21" spans="1:8" x14ac:dyDescent="0.35">
      <c r="A21" s="3" t="s">
        <v>75</v>
      </c>
      <c r="B21" s="3" t="s">
        <v>180</v>
      </c>
      <c r="C21" s="3" t="s">
        <v>159</v>
      </c>
      <c r="D21" s="8" t="s">
        <v>181</v>
      </c>
      <c r="E21" s="33">
        <v>17036</v>
      </c>
      <c r="F21" s="33">
        <v>20518</v>
      </c>
      <c r="G21" s="10">
        <v>21476</v>
      </c>
      <c r="H21" s="10">
        <v>21881</v>
      </c>
    </row>
    <row r="22" spans="1:8" x14ac:dyDescent="0.35">
      <c r="A22" s="16" t="s">
        <v>75</v>
      </c>
      <c r="B22" s="3" t="s">
        <v>22</v>
      </c>
      <c r="C22" s="3" t="s">
        <v>158</v>
      </c>
      <c r="D22" s="8" t="s">
        <v>57</v>
      </c>
      <c r="E22" s="33"/>
      <c r="F22" s="33">
        <v>13245</v>
      </c>
      <c r="G22" s="10">
        <v>17675</v>
      </c>
      <c r="H22" s="10">
        <v>15961</v>
      </c>
    </row>
    <row r="23" spans="1:8" x14ac:dyDescent="0.35">
      <c r="A23" s="3" t="s">
        <v>75</v>
      </c>
      <c r="B23" s="3" t="s">
        <v>19</v>
      </c>
      <c r="C23" s="73" t="s">
        <v>158</v>
      </c>
      <c r="D23" s="4" t="s">
        <v>192</v>
      </c>
      <c r="E23" s="19">
        <v>7225</v>
      </c>
      <c r="F23" s="10">
        <v>8175</v>
      </c>
      <c r="G23" s="10">
        <v>10401</v>
      </c>
      <c r="H23" s="10">
        <v>10795</v>
      </c>
    </row>
    <row r="24" spans="1:8" x14ac:dyDescent="0.35">
      <c r="A24" s="16" t="s">
        <v>75</v>
      </c>
      <c r="B24" s="3" t="s">
        <v>7</v>
      </c>
      <c r="C24" s="3" t="s">
        <v>158</v>
      </c>
      <c r="D24" s="8" t="s">
        <v>44</v>
      </c>
      <c r="E24" s="33">
        <v>26104</v>
      </c>
      <c r="F24" s="33">
        <v>30904</v>
      </c>
      <c r="G24" s="10">
        <v>34742</v>
      </c>
      <c r="H24" s="10"/>
    </row>
    <row r="25" spans="1:8" x14ac:dyDescent="0.35">
      <c r="A25" s="16" t="s">
        <v>75</v>
      </c>
      <c r="B25" s="3" t="s">
        <v>175</v>
      </c>
      <c r="C25" s="3" t="s">
        <v>157</v>
      </c>
      <c r="D25" s="4" t="s">
        <v>176</v>
      </c>
      <c r="E25" s="10">
        <v>22336</v>
      </c>
      <c r="F25" s="10">
        <v>26744</v>
      </c>
      <c r="G25" s="10">
        <v>31203</v>
      </c>
      <c r="H25" s="10"/>
    </row>
    <row r="26" spans="1:8" x14ac:dyDescent="0.35">
      <c r="A26" s="16" t="s">
        <v>75</v>
      </c>
      <c r="B26" s="3" t="s">
        <v>8</v>
      </c>
      <c r="C26" s="3" t="s">
        <v>158</v>
      </c>
      <c r="D26" s="8" t="s">
        <v>46</v>
      </c>
      <c r="E26" s="33"/>
      <c r="F26" s="33"/>
      <c r="G26" s="10">
        <v>28677</v>
      </c>
      <c r="H26" s="10">
        <v>30228</v>
      </c>
    </row>
    <row r="27" spans="1:8" x14ac:dyDescent="0.35">
      <c r="A27" s="3" t="s">
        <v>75</v>
      </c>
      <c r="B27" s="3" t="s">
        <v>19</v>
      </c>
      <c r="C27" s="3" t="s">
        <v>159</v>
      </c>
      <c r="D27" s="4" t="s">
        <v>144</v>
      </c>
      <c r="E27" s="10">
        <v>11235</v>
      </c>
      <c r="F27" s="10">
        <v>15196</v>
      </c>
      <c r="G27" s="10">
        <v>21930</v>
      </c>
      <c r="H27" s="10"/>
    </row>
    <row r="28" spans="1:8" x14ac:dyDescent="0.35">
      <c r="A28" s="3" t="s">
        <v>75</v>
      </c>
      <c r="B28" s="3" t="s">
        <v>9</v>
      </c>
      <c r="C28" s="3" t="s">
        <v>159</v>
      </c>
      <c r="D28" s="6" t="s">
        <v>140</v>
      </c>
      <c r="E28" s="11">
        <v>10853</v>
      </c>
      <c r="F28" s="11">
        <v>16130</v>
      </c>
      <c r="G28" s="11">
        <v>21695</v>
      </c>
      <c r="H28" s="11">
        <v>25115</v>
      </c>
    </row>
    <row r="29" spans="1:8" x14ac:dyDescent="0.35">
      <c r="A29" s="16" t="s">
        <v>75</v>
      </c>
      <c r="B29" s="3" t="s">
        <v>15</v>
      </c>
      <c r="C29" s="3" t="s">
        <v>158</v>
      </c>
      <c r="D29" s="4" t="s">
        <v>54</v>
      </c>
      <c r="E29" s="10"/>
      <c r="F29" s="10"/>
      <c r="G29" s="10">
        <v>20918</v>
      </c>
      <c r="H29" s="10"/>
    </row>
    <row r="30" spans="1:8" x14ac:dyDescent="0.35">
      <c r="A30" s="16" t="s">
        <v>75</v>
      </c>
      <c r="B30" s="9" t="s">
        <v>18</v>
      </c>
      <c r="C30" s="9" t="s">
        <v>158</v>
      </c>
      <c r="D30" s="6" t="s">
        <v>194</v>
      </c>
      <c r="E30" s="11"/>
      <c r="F30" s="11"/>
      <c r="G30" s="11">
        <v>19624</v>
      </c>
      <c r="H30" s="11">
        <v>25537</v>
      </c>
    </row>
    <row r="31" spans="1:8" x14ac:dyDescent="0.35">
      <c r="A31" s="16" t="s">
        <v>75</v>
      </c>
      <c r="B31" s="9" t="s">
        <v>123</v>
      </c>
      <c r="C31" s="9" t="s">
        <v>159</v>
      </c>
      <c r="D31" s="6" t="s">
        <v>124</v>
      </c>
      <c r="E31" s="11">
        <v>25905</v>
      </c>
      <c r="F31" s="11">
        <v>28182</v>
      </c>
      <c r="G31" s="11">
        <v>19112</v>
      </c>
      <c r="H31" s="11"/>
    </row>
    <row r="32" spans="1:8" x14ac:dyDescent="0.35">
      <c r="A32" s="16" t="s">
        <v>75</v>
      </c>
      <c r="B32" s="3" t="s">
        <v>25</v>
      </c>
      <c r="C32" s="3" t="s">
        <v>158</v>
      </c>
      <c r="D32" s="6" t="s">
        <v>61</v>
      </c>
      <c r="E32" s="11"/>
      <c r="F32" s="11"/>
      <c r="G32" s="11">
        <v>15879</v>
      </c>
      <c r="H32" s="11">
        <v>16630</v>
      </c>
    </row>
    <row r="33" spans="1:8" x14ac:dyDescent="0.35">
      <c r="A33" s="3" t="s">
        <v>75</v>
      </c>
      <c r="B33" s="3" t="s">
        <v>141</v>
      </c>
      <c r="C33" s="3" t="s">
        <v>158</v>
      </c>
      <c r="D33" s="4" t="s">
        <v>142</v>
      </c>
      <c r="E33" s="19"/>
      <c r="F33" s="10">
        <v>13422</v>
      </c>
      <c r="G33" s="10">
        <v>14605</v>
      </c>
      <c r="H33" s="10"/>
    </row>
    <row r="34" spans="1:8" x14ac:dyDescent="0.35">
      <c r="A34" s="16" t="s">
        <v>75</v>
      </c>
      <c r="B34" s="3" t="s">
        <v>29</v>
      </c>
      <c r="C34" s="3" t="s">
        <v>158</v>
      </c>
      <c r="D34" s="8" t="s">
        <v>65</v>
      </c>
      <c r="E34" s="33">
        <v>10213</v>
      </c>
      <c r="F34" s="33">
        <v>13578</v>
      </c>
      <c r="G34" s="10">
        <v>14144</v>
      </c>
      <c r="H34" s="10"/>
    </row>
    <row r="35" spans="1:8" x14ac:dyDescent="0.35">
      <c r="A35" s="16" t="s">
        <v>75</v>
      </c>
      <c r="B35" s="9" t="s">
        <v>33</v>
      </c>
      <c r="C35" s="9" t="s">
        <v>158</v>
      </c>
      <c r="D35" s="6" t="s">
        <v>86</v>
      </c>
      <c r="E35" s="11"/>
      <c r="F35" s="11"/>
      <c r="G35" s="11">
        <v>12363</v>
      </c>
      <c r="H35" s="11"/>
    </row>
    <row r="36" spans="1:8" x14ac:dyDescent="0.35">
      <c r="A36" s="16" t="s">
        <v>75</v>
      </c>
      <c r="B36" s="3" t="s">
        <v>38</v>
      </c>
      <c r="C36" s="3" t="s">
        <v>158</v>
      </c>
      <c r="D36" s="4" t="s">
        <v>71</v>
      </c>
      <c r="E36" s="10"/>
      <c r="F36" s="10"/>
      <c r="G36" s="10">
        <v>11133</v>
      </c>
      <c r="H36" s="10">
        <v>12621</v>
      </c>
    </row>
    <row r="37" spans="1:8" x14ac:dyDescent="0.35">
      <c r="A37" s="3" t="s">
        <v>75</v>
      </c>
      <c r="B37" s="9" t="s">
        <v>22</v>
      </c>
      <c r="C37" s="9" t="s">
        <v>157</v>
      </c>
      <c r="D37" s="6" t="s">
        <v>160</v>
      </c>
      <c r="E37" s="28">
        <v>11275</v>
      </c>
      <c r="F37" s="28">
        <v>9800</v>
      </c>
      <c r="G37" s="10">
        <v>7256</v>
      </c>
      <c r="H37" s="10">
        <v>7872</v>
      </c>
    </row>
    <row r="38" spans="1:8" x14ac:dyDescent="0.35">
      <c r="A38" s="16" t="s">
        <v>92</v>
      </c>
      <c r="B38" s="3" t="s">
        <v>17</v>
      </c>
      <c r="C38" s="3" t="s">
        <v>159</v>
      </c>
      <c r="D38" s="8" t="s">
        <v>115</v>
      </c>
      <c r="E38" s="33">
        <v>48832</v>
      </c>
      <c r="F38" s="33">
        <v>53926</v>
      </c>
      <c r="G38" s="10">
        <v>56640</v>
      </c>
      <c r="H38" s="10"/>
    </row>
    <row r="39" spans="1:8" x14ac:dyDescent="0.35">
      <c r="A39" s="49" t="s">
        <v>92</v>
      </c>
      <c r="B39" s="43" t="s">
        <v>2</v>
      </c>
      <c r="C39" s="43" t="s">
        <v>159</v>
      </c>
      <c r="D39" s="50" t="s">
        <v>111</v>
      </c>
      <c r="E39" s="51">
        <v>51234</v>
      </c>
      <c r="F39" s="51">
        <v>54175</v>
      </c>
      <c r="G39" s="45">
        <v>55499</v>
      </c>
      <c r="H39" s="45"/>
    </row>
    <row r="40" spans="1:8" x14ac:dyDescent="0.35">
      <c r="A40" s="3" t="s">
        <v>92</v>
      </c>
      <c r="B40" s="3" t="s">
        <v>161</v>
      </c>
      <c r="C40" s="3" t="s">
        <v>157</v>
      </c>
      <c r="D40" s="6" t="s">
        <v>162</v>
      </c>
      <c r="E40" s="28">
        <v>25108</v>
      </c>
      <c r="F40" s="28">
        <v>34990</v>
      </c>
      <c r="G40" s="10">
        <v>39385</v>
      </c>
      <c r="H40" s="10"/>
    </row>
    <row r="41" spans="1:8" x14ac:dyDescent="0.35">
      <c r="A41" s="16" t="s">
        <v>92</v>
      </c>
      <c r="B41" s="3" t="s">
        <v>113</v>
      </c>
      <c r="C41" s="3" t="s">
        <v>159</v>
      </c>
      <c r="D41" s="4" t="s">
        <v>114</v>
      </c>
      <c r="E41" s="10">
        <v>26715</v>
      </c>
      <c r="F41" s="10">
        <v>25660</v>
      </c>
      <c r="G41" s="10">
        <v>28506</v>
      </c>
      <c r="H41" s="10"/>
    </row>
    <row r="42" spans="1:8" x14ac:dyDescent="0.35">
      <c r="A42" s="16" t="s">
        <v>92</v>
      </c>
      <c r="B42" s="3" t="s">
        <v>8</v>
      </c>
      <c r="C42" s="3" t="s">
        <v>158</v>
      </c>
      <c r="D42" s="6" t="s">
        <v>51</v>
      </c>
      <c r="E42" s="11"/>
      <c r="F42" s="11"/>
      <c r="G42" s="28">
        <v>24590</v>
      </c>
      <c r="H42" s="28"/>
    </row>
    <row r="43" spans="1:8" x14ac:dyDescent="0.35">
      <c r="A43" s="16" t="s">
        <v>92</v>
      </c>
      <c r="B43" s="9" t="s">
        <v>13</v>
      </c>
      <c r="C43" s="9" t="s">
        <v>159</v>
      </c>
      <c r="D43" s="6" t="s">
        <v>117</v>
      </c>
      <c r="E43" s="11">
        <v>18221</v>
      </c>
      <c r="F43" s="11">
        <v>21847</v>
      </c>
      <c r="G43" s="11">
        <v>23828</v>
      </c>
      <c r="H43" s="11"/>
    </row>
    <row r="44" spans="1:8" x14ac:dyDescent="0.35">
      <c r="A44" s="16" t="s">
        <v>92</v>
      </c>
      <c r="B44" s="3" t="s">
        <v>17</v>
      </c>
      <c r="C44" s="3" t="s">
        <v>158</v>
      </c>
      <c r="D44" s="8" t="s">
        <v>56</v>
      </c>
      <c r="E44" s="33"/>
      <c r="F44" s="33">
        <v>18869</v>
      </c>
      <c r="G44" s="10">
        <v>19968</v>
      </c>
      <c r="H44" s="10"/>
    </row>
    <row r="45" spans="1:8" x14ac:dyDescent="0.35">
      <c r="A45" s="16" t="s">
        <v>92</v>
      </c>
      <c r="B45" s="3" t="s">
        <v>15</v>
      </c>
      <c r="C45" s="3" t="s">
        <v>158</v>
      </c>
      <c r="D45" s="4" t="s">
        <v>85</v>
      </c>
      <c r="E45" s="10">
        <v>15306</v>
      </c>
      <c r="F45" s="10">
        <v>17350</v>
      </c>
      <c r="G45" s="10">
        <v>19356</v>
      </c>
      <c r="H45" s="10"/>
    </row>
    <row r="46" spans="1:8" x14ac:dyDescent="0.35">
      <c r="A46" s="16" t="s">
        <v>92</v>
      </c>
      <c r="B46" s="3" t="s">
        <v>182</v>
      </c>
      <c r="C46" s="3" t="s">
        <v>157</v>
      </c>
      <c r="D46" s="8" t="s">
        <v>183</v>
      </c>
      <c r="E46" s="33">
        <v>22059</v>
      </c>
      <c r="F46" s="33">
        <v>16169</v>
      </c>
      <c r="G46" s="10">
        <v>19327</v>
      </c>
      <c r="H46" s="10"/>
    </row>
    <row r="47" spans="1:8" x14ac:dyDescent="0.35">
      <c r="A47" s="16" t="s">
        <v>92</v>
      </c>
      <c r="B47" s="3" t="s">
        <v>186</v>
      </c>
      <c r="C47" s="3" t="s">
        <v>157</v>
      </c>
      <c r="D47" s="8" t="s">
        <v>185</v>
      </c>
      <c r="E47" s="40">
        <v>14985</v>
      </c>
      <c r="F47" s="40">
        <v>18396</v>
      </c>
      <c r="G47" s="40">
        <v>18157</v>
      </c>
      <c r="H47" s="40"/>
    </row>
    <row r="48" spans="1:8" x14ac:dyDescent="0.35">
      <c r="A48" s="16" t="s">
        <v>92</v>
      </c>
      <c r="B48" s="3" t="s">
        <v>18</v>
      </c>
      <c r="C48" s="3" t="s">
        <v>159</v>
      </c>
      <c r="D48" s="8" t="s">
        <v>134</v>
      </c>
      <c r="E48" s="33">
        <v>16848</v>
      </c>
      <c r="F48" s="33">
        <v>17088</v>
      </c>
      <c r="G48" s="10">
        <v>17867</v>
      </c>
      <c r="H48" s="10"/>
    </row>
    <row r="49" spans="1:11" x14ac:dyDescent="0.35">
      <c r="A49" s="16" t="s">
        <v>92</v>
      </c>
      <c r="B49" s="3" t="s">
        <v>32</v>
      </c>
      <c r="C49" s="3" t="s">
        <v>158</v>
      </c>
      <c r="D49" s="4" t="s">
        <v>68</v>
      </c>
      <c r="E49" s="10"/>
      <c r="F49" s="10"/>
      <c r="G49" s="10">
        <v>12788</v>
      </c>
      <c r="H49" s="10"/>
    </row>
    <row r="50" spans="1:11" x14ac:dyDescent="0.35">
      <c r="A50" s="16" t="s">
        <v>92</v>
      </c>
      <c r="B50" s="3" t="s">
        <v>36</v>
      </c>
      <c r="C50" s="3" t="s">
        <v>158</v>
      </c>
      <c r="D50" s="6" t="s">
        <v>69</v>
      </c>
      <c r="E50" s="11"/>
      <c r="F50" s="11"/>
      <c r="G50" s="10">
        <v>11795</v>
      </c>
      <c r="H50" s="10"/>
      <c r="I50" s="21"/>
      <c r="J50" s="21"/>
      <c r="K50" s="21"/>
    </row>
    <row r="51" spans="1:11" x14ac:dyDescent="0.35">
      <c r="A51" s="16" t="s">
        <v>92</v>
      </c>
      <c r="B51" s="3" t="s">
        <v>15</v>
      </c>
      <c r="C51" s="3" t="s">
        <v>159</v>
      </c>
      <c r="D51" s="4" t="s">
        <v>85</v>
      </c>
      <c r="E51" s="10">
        <v>7661</v>
      </c>
      <c r="F51" s="10">
        <v>9129</v>
      </c>
      <c r="G51" s="10">
        <v>11464</v>
      </c>
      <c r="H51" s="10"/>
      <c r="I51" s="21"/>
      <c r="J51" s="21"/>
      <c r="K51" s="21"/>
    </row>
    <row r="52" spans="1:11" x14ac:dyDescent="0.35">
      <c r="A52" s="16" t="s">
        <v>92</v>
      </c>
      <c r="B52" s="9" t="s">
        <v>40</v>
      </c>
      <c r="C52" s="9" t="s">
        <v>158</v>
      </c>
      <c r="D52" s="6" t="s">
        <v>89</v>
      </c>
      <c r="E52" s="11"/>
      <c r="F52" s="11"/>
      <c r="G52" s="11">
        <v>10776</v>
      </c>
      <c r="H52" s="11"/>
      <c r="I52" s="21"/>
      <c r="J52" s="21"/>
      <c r="K52" s="21"/>
    </row>
    <row r="53" spans="1:11" x14ac:dyDescent="0.35">
      <c r="A53" s="3" t="s">
        <v>92</v>
      </c>
      <c r="B53" s="3" t="s">
        <v>32</v>
      </c>
      <c r="C53" s="3" t="s">
        <v>159</v>
      </c>
      <c r="D53" s="4" t="s">
        <v>145</v>
      </c>
      <c r="E53" s="10">
        <v>6650</v>
      </c>
      <c r="F53" s="10">
        <v>7490</v>
      </c>
      <c r="G53" s="10">
        <v>9300</v>
      </c>
      <c r="H53" s="10"/>
      <c r="I53" s="21"/>
      <c r="J53" s="21"/>
      <c r="K53" s="21"/>
    </row>
    <row r="54" spans="1:11" x14ac:dyDescent="0.35">
      <c r="A54" s="3" t="s">
        <v>91</v>
      </c>
      <c r="B54" s="3" t="s">
        <v>147</v>
      </c>
      <c r="C54" s="3" t="s">
        <v>159</v>
      </c>
      <c r="D54" s="6" t="s">
        <v>148</v>
      </c>
      <c r="E54" s="11">
        <v>13336</v>
      </c>
      <c r="F54" s="11">
        <v>16501</v>
      </c>
      <c r="G54" s="10" t="s">
        <v>149</v>
      </c>
      <c r="H54" s="10"/>
      <c r="I54" s="21"/>
      <c r="J54" s="21"/>
      <c r="K54" s="21"/>
    </row>
    <row r="55" spans="1:11" x14ac:dyDescent="0.35">
      <c r="A55" s="16" t="s">
        <v>91</v>
      </c>
      <c r="B55" s="3" t="s">
        <v>3</v>
      </c>
      <c r="C55" s="3" t="s">
        <v>158</v>
      </c>
      <c r="D55" s="4" t="s">
        <v>4</v>
      </c>
      <c r="E55" s="10"/>
      <c r="F55" s="10">
        <v>40765</v>
      </c>
      <c r="G55" s="10">
        <v>46706</v>
      </c>
      <c r="H55" s="10"/>
      <c r="I55" s="21"/>
      <c r="J55" s="21"/>
      <c r="K55" s="21"/>
    </row>
    <row r="56" spans="1:11" x14ac:dyDescent="0.35">
      <c r="A56" s="16" t="s">
        <v>91</v>
      </c>
      <c r="B56" s="3" t="s">
        <v>173</v>
      </c>
      <c r="C56" s="3" t="s">
        <v>157</v>
      </c>
      <c r="D56" s="8" t="s">
        <v>174</v>
      </c>
      <c r="E56" s="33">
        <v>35639</v>
      </c>
      <c r="F56" s="33">
        <v>41274</v>
      </c>
      <c r="G56" s="10">
        <v>45055</v>
      </c>
      <c r="H56" s="10"/>
      <c r="I56" s="21"/>
      <c r="J56" s="21"/>
      <c r="K56" s="21"/>
    </row>
    <row r="57" spans="1:11" x14ac:dyDescent="0.35">
      <c r="A57" s="16" t="s">
        <v>91</v>
      </c>
      <c r="B57" s="3" t="s">
        <v>8</v>
      </c>
      <c r="C57" s="3" t="s">
        <v>158</v>
      </c>
      <c r="D57" s="8" t="s">
        <v>47</v>
      </c>
      <c r="E57" s="33"/>
      <c r="F57" s="33"/>
      <c r="G57" s="33">
        <v>28474</v>
      </c>
      <c r="H57" s="33"/>
      <c r="I57" s="21"/>
      <c r="J57" s="21"/>
      <c r="K57" s="21"/>
    </row>
    <row r="58" spans="1:11" x14ac:dyDescent="0.35">
      <c r="A58" s="16" t="s">
        <v>91</v>
      </c>
      <c r="B58" s="9" t="s">
        <v>16</v>
      </c>
      <c r="C58" s="9" t="s">
        <v>158</v>
      </c>
      <c r="D58" s="6" t="s">
        <v>55</v>
      </c>
      <c r="E58" s="11"/>
      <c r="F58" s="11"/>
      <c r="G58" s="11">
        <v>20531</v>
      </c>
      <c r="H58" s="11"/>
      <c r="I58" s="21"/>
      <c r="J58" s="21"/>
      <c r="K58" s="21"/>
    </row>
    <row r="59" spans="1:11" x14ac:dyDescent="0.35">
      <c r="A59" s="16" t="s">
        <v>91</v>
      </c>
      <c r="B59" s="3" t="s">
        <v>6</v>
      </c>
      <c r="C59" s="3" t="s">
        <v>159</v>
      </c>
      <c r="D59" s="8" t="s">
        <v>122</v>
      </c>
      <c r="E59" s="33">
        <v>10164</v>
      </c>
      <c r="F59" s="33">
        <v>14585</v>
      </c>
      <c r="G59" s="10">
        <v>18508</v>
      </c>
      <c r="H59" s="10"/>
      <c r="I59" s="21"/>
      <c r="J59" s="21"/>
      <c r="K59" s="21"/>
    </row>
    <row r="60" spans="1:11" x14ac:dyDescent="0.35">
      <c r="A60" s="16" t="s">
        <v>91</v>
      </c>
      <c r="B60" s="3" t="s">
        <v>20</v>
      </c>
      <c r="C60" s="3" t="s">
        <v>158</v>
      </c>
      <c r="D60" s="6" t="s">
        <v>21</v>
      </c>
      <c r="E60" s="11"/>
      <c r="F60" s="11"/>
      <c r="G60" s="11">
        <v>17697</v>
      </c>
      <c r="H60" s="11"/>
      <c r="I60" s="21"/>
      <c r="J60" s="21"/>
      <c r="K60" s="21"/>
    </row>
    <row r="61" spans="1:11" x14ac:dyDescent="0.35">
      <c r="A61" s="16" t="s">
        <v>91</v>
      </c>
      <c r="B61" s="3" t="s">
        <v>23</v>
      </c>
      <c r="C61" s="3" t="s">
        <v>158</v>
      </c>
      <c r="D61" s="6" t="s">
        <v>87</v>
      </c>
      <c r="E61" s="11"/>
      <c r="F61" s="11"/>
      <c r="G61" s="11">
        <v>17222</v>
      </c>
      <c r="H61" s="11"/>
      <c r="I61" s="21"/>
      <c r="J61" s="21"/>
      <c r="K61" s="21"/>
    </row>
    <row r="62" spans="1:11" x14ac:dyDescent="0.35">
      <c r="A62" s="16" t="s">
        <v>91</v>
      </c>
      <c r="B62" s="25" t="s">
        <v>13</v>
      </c>
      <c r="C62" s="25" t="s">
        <v>157</v>
      </c>
      <c r="D62" s="26" t="s">
        <v>101</v>
      </c>
      <c r="E62" s="41"/>
      <c r="F62" s="33">
        <v>15291</v>
      </c>
      <c r="G62" s="38">
        <v>16778</v>
      </c>
      <c r="H62" s="27"/>
      <c r="I62" s="21"/>
      <c r="J62" s="21"/>
      <c r="K62" s="21"/>
    </row>
    <row r="63" spans="1:11" x14ac:dyDescent="0.35">
      <c r="A63" s="16" t="s">
        <v>91</v>
      </c>
      <c r="B63" s="3" t="s">
        <v>13</v>
      </c>
      <c r="C63" s="3" t="s">
        <v>158</v>
      </c>
      <c r="D63" s="6" t="s">
        <v>101</v>
      </c>
      <c r="E63" s="11"/>
      <c r="F63" s="11"/>
      <c r="G63" s="32">
        <v>12300</v>
      </c>
      <c r="H63" s="7"/>
      <c r="I63" s="21"/>
      <c r="J63" s="21"/>
      <c r="K63" s="21"/>
    </row>
    <row r="64" spans="1:11" x14ac:dyDescent="0.35">
      <c r="A64" s="16" t="s">
        <v>91</v>
      </c>
      <c r="B64" s="3" t="s">
        <v>41</v>
      </c>
      <c r="C64" s="3" t="s">
        <v>158</v>
      </c>
      <c r="D64" s="6" t="s">
        <v>105</v>
      </c>
      <c r="E64" s="11"/>
      <c r="F64" s="11"/>
      <c r="G64" s="32">
        <v>10768</v>
      </c>
      <c r="H64" s="7"/>
      <c r="I64" s="21"/>
      <c r="J64" s="21"/>
      <c r="K64" s="21"/>
    </row>
    <row r="65" spans="1:11" x14ac:dyDescent="0.35">
      <c r="A65" s="3" t="s">
        <v>91</v>
      </c>
      <c r="B65" s="3" t="s">
        <v>29</v>
      </c>
      <c r="C65" s="3" t="s">
        <v>159</v>
      </c>
      <c r="D65" s="4" t="s">
        <v>146</v>
      </c>
      <c r="E65" s="10">
        <v>5467</v>
      </c>
      <c r="F65" s="10">
        <v>6018</v>
      </c>
      <c r="G65" s="31">
        <v>7636</v>
      </c>
      <c r="H65" s="5"/>
      <c r="I65" s="21"/>
      <c r="J65" s="21"/>
      <c r="K65" s="21"/>
    </row>
    <row r="66" spans="1:11" x14ac:dyDescent="0.35">
      <c r="A66" s="16" t="s">
        <v>91</v>
      </c>
      <c r="B66" s="9" t="s">
        <v>127</v>
      </c>
      <c r="C66" s="9" t="s">
        <v>157</v>
      </c>
      <c r="D66" s="6" t="s">
        <v>130</v>
      </c>
      <c r="E66" s="11">
        <v>6035</v>
      </c>
      <c r="F66" s="11">
        <v>5991</v>
      </c>
      <c r="G66" s="32">
        <v>7142</v>
      </c>
      <c r="H66" s="7"/>
      <c r="I66" s="21"/>
      <c r="J66" s="21"/>
      <c r="K66" s="21"/>
    </row>
    <row r="67" spans="1:11" x14ac:dyDescent="0.35">
      <c r="A67" s="16" t="s">
        <v>94</v>
      </c>
      <c r="B67" s="3" t="s">
        <v>6</v>
      </c>
      <c r="C67" s="3" t="s">
        <v>158</v>
      </c>
      <c r="D67" s="4" t="s">
        <v>43</v>
      </c>
      <c r="E67" s="10"/>
      <c r="F67" s="10"/>
      <c r="G67" s="31">
        <v>40241</v>
      </c>
      <c r="H67" s="5"/>
      <c r="I67" s="21"/>
      <c r="J67" s="21"/>
      <c r="K67" s="21"/>
    </row>
    <row r="68" spans="1:11" x14ac:dyDescent="0.35">
      <c r="A68" s="43" t="s">
        <v>94</v>
      </c>
      <c r="B68" s="43" t="s">
        <v>2</v>
      </c>
      <c r="C68" s="43" t="s">
        <v>157</v>
      </c>
      <c r="D68" s="44" t="s">
        <v>163</v>
      </c>
      <c r="E68" s="45">
        <v>24629</v>
      </c>
      <c r="F68" s="45">
        <v>29610</v>
      </c>
      <c r="G68" s="46">
        <v>34353</v>
      </c>
      <c r="H68" s="47"/>
      <c r="I68" s="21"/>
      <c r="J68" s="21"/>
      <c r="K68" s="21"/>
    </row>
    <row r="69" spans="1:11" x14ac:dyDescent="0.35">
      <c r="A69" s="16" t="s">
        <v>94</v>
      </c>
      <c r="B69" s="3" t="s">
        <v>6</v>
      </c>
      <c r="C69" s="3" t="s">
        <v>157</v>
      </c>
      <c r="D69" s="6" t="s">
        <v>184</v>
      </c>
      <c r="E69" s="11">
        <v>11329</v>
      </c>
      <c r="F69" s="11">
        <v>13308</v>
      </c>
      <c r="G69" s="32">
        <v>13543</v>
      </c>
      <c r="H69" s="7"/>
      <c r="I69" s="21"/>
      <c r="J69" s="21"/>
      <c r="K69" s="21"/>
    </row>
    <row r="70" spans="1:11" x14ac:dyDescent="0.35">
      <c r="A70" s="16" t="s">
        <v>96</v>
      </c>
      <c r="B70" s="3" t="s">
        <v>165</v>
      </c>
      <c r="C70" s="3" t="s">
        <v>157</v>
      </c>
      <c r="D70" s="8" t="s">
        <v>166</v>
      </c>
      <c r="E70" s="33">
        <v>41806</v>
      </c>
      <c r="F70" s="33">
        <v>43339</v>
      </c>
      <c r="G70" s="31">
        <v>43654</v>
      </c>
      <c r="H70" s="5"/>
      <c r="I70" s="21"/>
      <c r="J70" s="21"/>
      <c r="K70" s="21"/>
    </row>
    <row r="71" spans="1:11" x14ac:dyDescent="0.35">
      <c r="A71" s="16" t="s">
        <v>96</v>
      </c>
      <c r="B71" s="9" t="s">
        <v>14</v>
      </c>
      <c r="C71" s="9" t="s">
        <v>158</v>
      </c>
      <c r="D71" s="6" t="s">
        <v>97</v>
      </c>
      <c r="E71" s="11"/>
      <c r="F71" s="11"/>
      <c r="G71" s="32">
        <v>21011</v>
      </c>
      <c r="H71" s="7"/>
      <c r="I71" s="21"/>
      <c r="J71" s="21"/>
      <c r="K71" s="21"/>
    </row>
    <row r="72" spans="1:11" x14ac:dyDescent="0.35">
      <c r="A72" s="16" t="s">
        <v>96</v>
      </c>
      <c r="B72" s="3" t="s">
        <v>17</v>
      </c>
      <c r="C72" s="3" t="s">
        <v>157</v>
      </c>
      <c r="D72" s="4" t="s">
        <v>168</v>
      </c>
      <c r="E72" s="10">
        <v>13368</v>
      </c>
      <c r="F72" s="10">
        <v>12895</v>
      </c>
      <c r="G72" s="31">
        <v>13067</v>
      </c>
      <c r="H72" s="5"/>
      <c r="I72" s="21"/>
      <c r="J72" s="21"/>
      <c r="K72" s="21"/>
    </row>
    <row r="73" spans="1:11" x14ac:dyDescent="0.35">
      <c r="A73" s="16" t="s">
        <v>96</v>
      </c>
      <c r="B73" s="3" t="s">
        <v>34</v>
      </c>
      <c r="C73" s="3" t="s">
        <v>158</v>
      </c>
      <c r="D73" s="4" t="s">
        <v>103</v>
      </c>
      <c r="E73" s="10"/>
      <c r="F73" s="10"/>
      <c r="G73" s="31">
        <v>11218</v>
      </c>
      <c r="H73" s="5"/>
      <c r="I73" s="21"/>
      <c r="J73" s="21"/>
      <c r="K73" s="21"/>
    </row>
    <row r="74" spans="1:11" x14ac:dyDescent="0.35">
      <c r="A74" s="16" t="s">
        <v>110</v>
      </c>
      <c r="B74" s="3" t="s">
        <v>16</v>
      </c>
      <c r="C74" s="3" t="s">
        <v>159</v>
      </c>
      <c r="D74" s="4" t="s">
        <v>118</v>
      </c>
      <c r="E74" s="10">
        <v>13297</v>
      </c>
      <c r="F74" s="10">
        <v>20284</v>
      </c>
      <c r="G74" s="31">
        <v>32963</v>
      </c>
      <c r="H74" s="5"/>
      <c r="I74" s="21"/>
      <c r="J74" s="21"/>
      <c r="K74" s="21"/>
    </row>
    <row r="75" spans="1:11" x14ac:dyDescent="0.35">
      <c r="A75" s="16" t="s">
        <v>110</v>
      </c>
      <c r="B75" s="3" t="s">
        <v>84</v>
      </c>
      <c r="C75" s="3" t="s">
        <v>159</v>
      </c>
      <c r="D75" s="4" t="s">
        <v>135</v>
      </c>
      <c r="E75" s="10">
        <v>28364</v>
      </c>
      <c r="F75" s="10">
        <v>28078</v>
      </c>
      <c r="G75" s="31">
        <v>29363</v>
      </c>
      <c r="H75" s="5"/>
      <c r="I75" s="21"/>
      <c r="J75" s="21"/>
      <c r="K75" s="21"/>
    </row>
    <row r="76" spans="1:11" x14ac:dyDescent="0.35">
      <c r="A76" s="16" t="s">
        <v>93</v>
      </c>
      <c r="B76" s="3" t="s">
        <v>7</v>
      </c>
      <c r="C76" s="3" t="s">
        <v>159</v>
      </c>
      <c r="D76" s="6" t="s">
        <v>119</v>
      </c>
      <c r="E76" s="11">
        <v>43051</v>
      </c>
      <c r="F76" s="11">
        <v>54168</v>
      </c>
      <c r="G76" s="32">
        <v>48361</v>
      </c>
      <c r="H76" s="7"/>
      <c r="I76" s="21"/>
      <c r="J76" s="21"/>
      <c r="K76" s="21"/>
    </row>
    <row r="77" spans="1:11" x14ac:dyDescent="0.35">
      <c r="A77" s="16" t="s">
        <v>93</v>
      </c>
      <c r="B77" s="3" t="s">
        <v>5</v>
      </c>
      <c r="C77" s="3" t="s">
        <v>158</v>
      </c>
      <c r="D77" s="6" t="s">
        <v>102</v>
      </c>
      <c r="E77" s="11"/>
      <c r="F77" s="11"/>
      <c r="G77" s="11">
        <v>46258</v>
      </c>
      <c r="H77" s="11"/>
      <c r="I77" s="21"/>
      <c r="J77" s="21"/>
      <c r="K77" s="21"/>
    </row>
    <row r="78" spans="1:11" x14ac:dyDescent="0.35">
      <c r="A78" s="16" t="s">
        <v>93</v>
      </c>
      <c r="B78" s="3" t="s">
        <v>6</v>
      </c>
      <c r="C78" s="3" t="s">
        <v>158</v>
      </c>
      <c r="D78" s="8" t="s">
        <v>45</v>
      </c>
      <c r="E78" s="33">
        <v>24381</v>
      </c>
      <c r="F78" s="33">
        <v>27716</v>
      </c>
      <c r="G78" s="10">
        <v>31440</v>
      </c>
      <c r="H78" s="10"/>
      <c r="I78" s="21"/>
      <c r="J78" s="21"/>
      <c r="K78" s="21"/>
    </row>
    <row r="79" spans="1:11" x14ac:dyDescent="0.35">
      <c r="A79" s="16" t="s">
        <v>93</v>
      </c>
      <c r="B79" s="3" t="s">
        <v>187</v>
      </c>
      <c r="C79" s="3" t="s">
        <v>157</v>
      </c>
      <c r="D79" s="8" t="s">
        <v>188</v>
      </c>
      <c r="E79" s="33">
        <v>20274</v>
      </c>
      <c r="F79" s="33">
        <v>22903</v>
      </c>
      <c r="G79" s="10">
        <v>24703</v>
      </c>
      <c r="H79" s="10"/>
      <c r="I79" s="21"/>
      <c r="J79" s="21"/>
      <c r="K79" s="21"/>
    </row>
    <row r="80" spans="1:11" x14ac:dyDescent="0.35">
      <c r="A80" s="16" t="s">
        <v>93</v>
      </c>
      <c r="B80" s="3" t="s">
        <v>17</v>
      </c>
      <c r="C80" s="3" t="s">
        <v>158</v>
      </c>
      <c r="D80" s="8" t="s">
        <v>58</v>
      </c>
      <c r="E80" s="33"/>
      <c r="F80" s="33"/>
      <c r="G80" s="10">
        <v>17223</v>
      </c>
      <c r="H80" s="10"/>
      <c r="I80" s="21"/>
      <c r="J80" s="21"/>
      <c r="K80" s="21"/>
    </row>
    <row r="81" spans="1:11" x14ac:dyDescent="0.35">
      <c r="A81" s="16" t="s">
        <v>93</v>
      </c>
      <c r="B81" s="9" t="s">
        <v>17</v>
      </c>
      <c r="C81" s="9" t="s">
        <v>157</v>
      </c>
      <c r="D81" s="6" t="s">
        <v>189</v>
      </c>
      <c r="E81" s="11">
        <v>12201</v>
      </c>
      <c r="F81" s="11">
        <v>15108</v>
      </c>
      <c r="G81" s="11">
        <v>17154</v>
      </c>
      <c r="H81" s="11"/>
      <c r="I81" s="21"/>
      <c r="J81" s="21"/>
      <c r="K81" s="21"/>
    </row>
    <row r="82" spans="1:11" x14ac:dyDescent="0.35">
      <c r="A82" s="3" t="s">
        <v>93</v>
      </c>
      <c r="B82" s="3" t="s">
        <v>141</v>
      </c>
      <c r="C82" s="3" t="s">
        <v>159</v>
      </c>
      <c r="D82" s="6" t="s">
        <v>143</v>
      </c>
      <c r="E82" s="11">
        <v>5557</v>
      </c>
      <c r="F82" s="11">
        <v>7079</v>
      </c>
      <c r="G82" s="11">
        <v>9544</v>
      </c>
      <c r="H82" s="11"/>
      <c r="I82" s="21"/>
      <c r="J82" s="21"/>
      <c r="K82" s="21"/>
    </row>
    <row r="83" spans="1:11" x14ac:dyDescent="0.35">
      <c r="A83" s="3" t="s">
        <v>93</v>
      </c>
      <c r="B83" s="3" t="s">
        <v>108</v>
      </c>
      <c r="C83" s="3" t="s">
        <v>158</v>
      </c>
      <c r="D83" s="4" t="s">
        <v>109</v>
      </c>
      <c r="E83" s="10"/>
      <c r="F83" s="10">
        <v>7392</v>
      </c>
      <c r="G83" s="10">
        <v>8918</v>
      </c>
      <c r="H83" s="10"/>
      <c r="I83" s="21"/>
      <c r="J83" s="21"/>
      <c r="K83" s="21"/>
    </row>
    <row r="84" spans="1:11" x14ac:dyDescent="0.35">
      <c r="A84" s="16" t="s">
        <v>95</v>
      </c>
      <c r="B84" s="3" t="s">
        <v>108</v>
      </c>
      <c r="C84" s="3" t="s">
        <v>159</v>
      </c>
      <c r="D84" s="8" t="s">
        <v>120</v>
      </c>
      <c r="E84" s="33">
        <v>48155</v>
      </c>
      <c r="F84" s="33">
        <v>52027</v>
      </c>
      <c r="G84" s="10">
        <v>54187</v>
      </c>
      <c r="H84" s="10"/>
      <c r="I84" s="21"/>
      <c r="J84" s="21"/>
      <c r="K84" s="21"/>
    </row>
    <row r="85" spans="1:11" x14ac:dyDescent="0.35">
      <c r="A85" s="3" t="s">
        <v>95</v>
      </c>
      <c r="B85" s="9" t="s">
        <v>33</v>
      </c>
      <c r="C85" s="9" t="s">
        <v>159</v>
      </c>
      <c r="D85" s="6" t="s">
        <v>177</v>
      </c>
      <c r="E85" s="11">
        <v>13819</v>
      </c>
      <c r="F85" s="11">
        <v>16167</v>
      </c>
      <c r="G85" s="11">
        <v>30085</v>
      </c>
      <c r="H85" s="11"/>
      <c r="I85" s="21"/>
      <c r="J85" s="21"/>
      <c r="K85" s="21"/>
    </row>
    <row r="86" spans="1:11" x14ac:dyDescent="0.35">
      <c r="A86" s="16" t="s">
        <v>95</v>
      </c>
      <c r="B86" s="3" t="s">
        <v>10</v>
      </c>
      <c r="C86" s="3" t="s">
        <v>158</v>
      </c>
      <c r="D86" s="8" t="s">
        <v>49</v>
      </c>
      <c r="E86" s="33"/>
      <c r="F86" s="33"/>
      <c r="G86" s="10">
        <v>26060</v>
      </c>
      <c r="H86" s="10"/>
      <c r="I86" s="21"/>
      <c r="J86" s="21"/>
      <c r="K86" s="21"/>
    </row>
    <row r="87" spans="1:11" x14ac:dyDescent="0.35">
      <c r="A87" s="16" t="s">
        <v>95</v>
      </c>
      <c r="B87" s="3" t="s">
        <v>11</v>
      </c>
      <c r="C87" s="3" t="s">
        <v>158</v>
      </c>
      <c r="D87" s="8" t="s">
        <v>50</v>
      </c>
      <c r="E87" s="33"/>
      <c r="F87" s="33"/>
      <c r="G87" s="10">
        <v>24634</v>
      </c>
      <c r="H87" s="10"/>
      <c r="I87" s="21"/>
      <c r="J87" s="21"/>
      <c r="K87" s="21"/>
    </row>
    <row r="88" spans="1:11" x14ac:dyDescent="0.35">
      <c r="A88" s="16" t="s">
        <v>95</v>
      </c>
      <c r="B88" s="9" t="s">
        <v>31</v>
      </c>
      <c r="C88" s="9" t="s">
        <v>159</v>
      </c>
      <c r="D88" s="6" t="s">
        <v>125</v>
      </c>
      <c r="E88" s="11">
        <v>16069</v>
      </c>
      <c r="F88" s="11">
        <v>16815</v>
      </c>
      <c r="G88" s="11">
        <v>23328</v>
      </c>
      <c r="H88" s="11"/>
      <c r="I88" s="21"/>
      <c r="J88" s="21"/>
      <c r="K88" s="21"/>
    </row>
    <row r="89" spans="1:11" x14ac:dyDescent="0.35">
      <c r="A89" s="16" t="s">
        <v>95</v>
      </c>
      <c r="B89" s="3" t="s">
        <v>13</v>
      </c>
      <c r="C89" s="3" t="s">
        <v>158</v>
      </c>
      <c r="D89" s="6" t="s">
        <v>53</v>
      </c>
      <c r="E89" s="11"/>
      <c r="F89" s="11"/>
      <c r="G89" s="11">
        <v>22354</v>
      </c>
      <c r="H89" s="11"/>
      <c r="I89" s="21"/>
      <c r="J89" s="21"/>
      <c r="K89" s="21"/>
    </row>
    <row r="90" spans="1:11" x14ac:dyDescent="0.35">
      <c r="A90" s="16" t="s">
        <v>95</v>
      </c>
      <c r="B90" s="3" t="s">
        <v>19</v>
      </c>
      <c r="C90" s="3" t="s">
        <v>158</v>
      </c>
      <c r="D90" s="8" t="s">
        <v>99</v>
      </c>
      <c r="E90" s="33"/>
      <c r="F90" s="33"/>
      <c r="G90" s="10">
        <v>18564</v>
      </c>
      <c r="H90" s="10"/>
      <c r="I90" s="21"/>
      <c r="J90" s="21"/>
      <c r="K90" s="21"/>
    </row>
    <row r="91" spans="1:11" x14ac:dyDescent="0.35">
      <c r="A91" s="3" t="s">
        <v>95</v>
      </c>
      <c r="B91" s="3" t="s">
        <v>155</v>
      </c>
      <c r="C91" s="3" t="s">
        <v>159</v>
      </c>
      <c r="D91" s="4" t="s">
        <v>154</v>
      </c>
      <c r="E91" s="10">
        <v>16495</v>
      </c>
      <c r="F91" s="10">
        <v>17736</v>
      </c>
      <c r="G91" s="10">
        <v>18503</v>
      </c>
      <c r="H91" s="10"/>
      <c r="I91" s="21"/>
      <c r="J91" s="21"/>
      <c r="K91" s="21"/>
    </row>
    <row r="92" spans="1:11" x14ac:dyDescent="0.35">
      <c r="A92" s="43" t="s">
        <v>95</v>
      </c>
      <c r="B92" s="43" t="s">
        <v>169</v>
      </c>
      <c r="C92" s="43" t="s">
        <v>158</v>
      </c>
      <c r="D92" s="44" t="s">
        <v>170</v>
      </c>
      <c r="E92" s="48">
        <v>11065</v>
      </c>
      <c r="F92" s="45">
        <v>15270</v>
      </c>
      <c r="G92" s="45">
        <v>16280</v>
      </c>
      <c r="H92" s="45"/>
      <c r="I92" s="21"/>
      <c r="J92" s="21"/>
      <c r="K92" s="21"/>
    </row>
    <row r="93" spans="1:11" x14ac:dyDescent="0.35">
      <c r="A93" s="16" t="s">
        <v>95</v>
      </c>
      <c r="B93" s="3" t="s">
        <v>17</v>
      </c>
      <c r="C93" s="3" t="s">
        <v>158</v>
      </c>
      <c r="D93" s="4" t="s">
        <v>60</v>
      </c>
      <c r="E93" s="10"/>
      <c r="F93" s="10"/>
      <c r="G93" s="10">
        <v>16201</v>
      </c>
      <c r="H93" s="10"/>
      <c r="I93" s="21"/>
      <c r="J93" s="21"/>
      <c r="K93" s="21"/>
    </row>
    <row r="94" spans="1:11" x14ac:dyDescent="0.35">
      <c r="A94" s="16" t="s">
        <v>95</v>
      </c>
      <c r="B94" s="3" t="s">
        <v>27</v>
      </c>
      <c r="C94" s="3" t="s">
        <v>158</v>
      </c>
      <c r="D94" s="8" t="s">
        <v>63</v>
      </c>
      <c r="E94" s="33"/>
      <c r="F94" s="33"/>
      <c r="G94" s="10">
        <v>14635</v>
      </c>
      <c r="H94" s="10"/>
      <c r="I94" s="21"/>
      <c r="J94" s="21"/>
      <c r="K94" s="21"/>
    </row>
    <row r="95" spans="1:11" x14ac:dyDescent="0.35">
      <c r="A95" s="16" t="s">
        <v>95</v>
      </c>
      <c r="B95" s="3" t="s">
        <v>31</v>
      </c>
      <c r="C95" s="3" t="s">
        <v>158</v>
      </c>
      <c r="D95" s="12" t="s">
        <v>67</v>
      </c>
      <c r="E95" s="10"/>
      <c r="F95" s="10"/>
      <c r="G95" s="10">
        <v>13341</v>
      </c>
      <c r="H95" s="10"/>
      <c r="I95" s="21"/>
      <c r="J95" s="21"/>
      <c r="K95" s="21"/>
    </row>
    <row r="96" spans="1:11" x14ac:dyDescent="0.35">
      <c r="A96" s="16" t="s">
        <v>95</v>
      </c>
      <c r="B96" s="25" t="s">
        <v>34</v>
      </c>
      <c r="C96" s="25" t="s">
        <v>158</v>
      </c>
      <c r="D96" s="39" t="s">
        <v>100</v>
      </c>
      <c r="E96" s="27"/>
      <c r="F96" s="10"/>
      <c r="G96" s="38">
        <v>12156</v>
      </c>
      <c r="H96" s="27"/>
      <c r="I96" s="21"/>
      <c r="J96" s="21"/>
      <c r="K96" s="21"/>
    </row>
    <row r="97" spans="1:11" x14ac:dyDescent="0.35">
      <c r="A97" s="16" t="s">
        <v>95</v>
      </c>
      <c r="B97" s="9" t="s">
        <v>37</v>
      </c>
      <c r="C97" s="9" t="s">
        <v>158</v>
      </c>
      <c r="D97" s="6" t="s">
        <v>70</v>
      </c>
      <c r="E97" s="11"/>
      <c r="F97" s="11"/>
      <c r="G97" s="32">
        <v>11471</v>
      </c>
      <c r="H97" s="7"/>
      <c r="I97" s="21"/>
      <c r="J97" s="21"/>
      <c r="K97" s="21"/>
    </row>
    <row r="98" spans="1:11" x14ac:dyDescent="0.35">
      <c r="A98" s="3" t="s">
        <v>95</v>
      </c>
      <c r="B98" s="3" t="s">
        <v>153</v>
      </c>
      <c r="C98" s="3" t="s">
        <v>158</v>
      </c>
      <c r="D98" s="4" t="s">
        <v>152</v>
      </c>
      <c r="E98" s="19">
        <v>10690</v>
      </c>
      <c r="F98" s="10">
        <v>11598</v>
      </c>
      <c r="G98" s="31">
        <v>11416</v>
      </c>
      <c r="H98" s="5"/>
      <c r="I98" s="21"/>
      <c r="J98" s="21"/>
      <c r="K98" s="21"/>
    </row>
    <row r="99" spans="1:11" x14ac:dyDescent="0.35">
      <c r="A99" s="43" t="s">
        <v>95</v>
      </c>
      <c r="B99" s="43" t="s">
        <v>169</v>
      </c>
      <c r="C99" s="43" t="s">
        <v>157</v>
      </c>
      <c r="D99" s="44" t="s">
        <v>170</v>
      </c>
      <c r="E99" s="45">
        <v>13566</v>
      </c>
      <c r="F99" s="45">
        <v>11150</v>
      </c>
      <c r="G99" s="46">
        <v>11338</v>
      </c>
      <c r="H99" s="47"/>
      <c r="I99" s="21"/>
      <c r="J99" s="21"/>
      <c r="K99" s="21"/>
    </row>
    <row r="100" spans="1:11" x14ac:dyDescent="0.35">
      <c r="A100" s="16" t="s">
        <v>95</v>
      </c>
      <c r="B100" s="9" t="s">
        <v>42</v>
      </c>
      <c r="C100" s="9" t="s">
        <v>158</v>
      </c>
      <c r="D100" s="6" t="s">
        <v>73</v>
      </c>
      <c r="E100" s="11"/>
      <c r="F100" s="11"/>
      <c r="G100" s="32">
        <v>10752</v>
      </c>
      <c r="H100" s="7"/>
      <c r="I100" s="21"/>
      <c r="J100" s="21"/>
      <c r="K100" s="21"/>
    </row>
    <row r="101" spans="1:11" x14ac:dyDescent="0.35">
      <c r="A101" s="3" t="s">
        <v>95</v>
      </c>
      <c r="B101" s="9" t="s">
        <v>22</v>
      </c>
      <c r="C101" s="9" t="s">
        <v>159</v>
      </c>
      <c r="D101" s="6" t="s">
        <v>150</v>
      </c>
      <c r="E101" s="28">
        <v>4847</v>
      </c>
      <c r="F101" s="28">
        <v>5720</v>
      </c>
      <c r="G101" s="31">
        <v>9600</v>
      </c>
      <c r="H101" s="5"/>
      <c r="I101" s="21"/>
      <c r="J101" s="21"/>
      <c r="K101" s="21"/>
    </row>
    <row r="102" spans="1:11" x14ac:dyDescent="0.35">
      <c r="A102" s="3" t="s">
        <v>95</v>
      </c>
      <c r="B102" s="3" t="s">
        <v>22</v>
      </c>
      <c r="C102" s="3" t="s">
        <v>158</v>
      </c>
      <c r="D102" s="4" t="s">
        <v>151</v>
      </c>
      <c r="E102" s="19">
        <v>6567</v>
      </c>
      <c r="F102" s="10">
        <v>7255</v>
      </c>
      <c r="G102" s="31">
        <v>7635</v>
      </c>
      <c r="H102" s="5"/>
      <c r="I102" s="21"/>
      <c r="J102" s="21"/>
      <c r="K102" s="21"/>
    </row>
    <row r="103" spans="1:11" x14ac:dyDescent="0.35">
      <c r="A103" s="3" t="s">
        <v>95</v>
      </c>
      <c r="B103" s="9" t="s">
        <v>153</v>
      </c>
      <c r="C103" s="9" t="s">
        <v>159</v>
      </c>
      <c r="D103" s="6" t="s">
        <v>152</v>
      </c>
      <c r="E103" s="11">
        <v>4563</v>
      </c>
      <c r="F103" s="11">
        <v>6281</v>
      </c>
      <c r="G103" s="32">
        <v>7312</v>
      </c>
      <c r="H103" s="7"/>
      <c r="I103" s="21"/>
      <c r="J103" s="21"/>
      <c r="K103" s="21"/>
    </row>
    <row r="104" spans="1:11" x14ac:dyDescent="0.35">
      <c r="A104" s="49" t="s">
        <v>95</v>
      </c>
      <c r="B104" s="43" t="s">
        <v>17</v>
      </c>
      <c r="C104" s="43" t="s">
        <v>157</v>
      </c>
      <c r="D104" s="50" t="s">
        <v>191</v>
      </c>
      <c r="E104" s="51" t="s">
        <v>172</v>
      </c>
      <c r="F104" s="51" t="s">
        <v>172</v>
      </c>
      <c r="G104" s="46">
        <v>4681</v>
      </c>
      <c r="H104" s="47"/>
      <c r="I104" s="21"/>
      <c r="J104" s="21"/>
      <c r="K104" s="21"/>
    </row>
    <row r="105" spans="1:11" x14ac:dyDescent="0.35">
      <c r="A105" s="3" t="s">
        <v>104</v>
      </c>
      <c r="B105" s="3" t="s">
        <v>8</v>
      </c>
      <c r="C105" s="3" t="s">
        <v>159</v>
      </c>
      <c r="D105" s="4" t="s">
        <v>121</v>
      </c>
      <c r="E105" s="10">
        <v>51349</v>
      </c>
      <c r="F105" s="10">
        <v>55526</v>
      </c>
      <c r="G105" s="31">
        <v>59124</v>
      </c>
      <c r="H105" s="5"/>
      <c r="I105" s="21"/>
      <c r="J105" s="21"/>
      <c r="K105" s="21"/>
    </row>
    <row r="106" spans="1:11" x14ac:dyDescent="0.35">
      <c r="A106" s="16" t="s">
        <v>104</v>
      </c>
      <c r="B106" s="3" t="s">
        <v>39</v>
      </c>
      <c r="C106" s="3" t="s">
        <v>158</v>
      </c>
      <c r="D106" s="4" t="s">
        <v>72</v>
      </c>
      <c r="E106" s="10"/>
      <c r="F106" s="10"/>
      <c r="G106" s="31">
        <v>10896</v>
      </c>
      <c r="H106" s="5"/>
      <c r="I106" s="21"/>
      <c r="J106" s="21"/>
      <c r="K106" s="21"/>
    </row>
    <row r="107" spans="1:11" x14ac:dyDescent="0.35">
      <c r="A107" s="16" t="s">
        <v>104</v>
      </c>
      <c r="B107" s="3" t="s">
        <v>127</v>
      </c>
      <c r="C107" s="3" t="s">
        <v>159</v>
      </c>
      <c r="D107" s="4" t="s">
        <v>129</v>
      </c>
      <c r="E107" s="10">
        <v>9758</v>
      </c>
      <c r="F107" s="10">
        <v>8978</v>
      </c>
      <c r="G107" s="31">
        <v>9733</v>
      </c>
      <c r="H107" s="5"/>
      <c r="I107" s="21"/>
      <c r="J107" s="21"/>
      <c r="K107" s="21"/>
    </row>
    <row r="108" spans="1:11" x14ac:dyDescent="0.35">
      <c r="A108" s="16" t="s">
        <v>83</v>
      </c>
      <c r="B108" s="3" t="s">
        <v>15</v>
      </c>
      <c r="C108" s="3" t="s">
        <v>157</v>
      </c>
      <c r="D108" s="8" t="s">
        <v>167</v>
      </c>
      <c r="E108" s="33">
        <v>31292</v>
      </c>
      <c r="F108" s="33">
        <v>34982</v>
      </c>
      <c r="G108" s="31">
        <v>36534</v>
      </c>
      <c r="H108" s="5"/>
      <c r="I108" s="21"/>
      <c r="J108" s="21"/>
      <c r="K108" s="21"/>
    </row>
    <row r="109" spans="1:11" x14ac:dyDescent="0.35">
      <c r="A109" s="16" t="s">
        <v>83</v>
      </c>
      <c r="B109" s="3" t="s">
        <v>10</v>
      </c>
      <c r="C109" s="3" t="s">
        <v>159</v>
      </c>
      <c r="D109" s="6" t="s">
        <v>126</v>
      </c>
      <c r="E109" s="11">
        <v>25905</v>
      </c>
      <c r="F109" s="11">
        <v>28182</v>
      </c>
      <c r="G109" s="32">
        <v>30772</v>
      </c>
      <c r="H109" s="7"/>
      <c r="I109" s="21"/>
      <c r="J109" s="21"/>
      <c r="K109" s="21"/>
    </row>
    <row r="110" spans="1:11" x14ac:dyDescent="0.35">
      <c r="A110" s="3" t="s">
        <v>83</v>
      </c>
      <c r="B110" s="9" t="s">
        <v>178</v>
      </c>
      <c r="C110" s="9" t="s">
        <v>159</v>
      </c>
      <c r="D110" s="6" t="s">
        <v>179</v>
      </c>
      <c r="E110" s="11">
        <v>15151</v>
      </c>
      <c r="F110" s="11">
        <v>18432</v>
      </c>
      <c r="G110" s="32">
        <v>22772</v>
      </c>
      <c r="H110" s="7"/>
      <c r="I110" s="21"/>
      <c r="J110" s="21"/>
      <c r="K110" s="21"/>
    </row>
    <row r="111" spans="1:11" x14ac:dyDescent="0.35">
      <c r="A111" s="16" t="s">
        <v>83</v>
      </c>
      <c r="B111" s="9" t="s">
        <v>24</v>
      </c>
      <c r="C111" s="9" t="s">
        <v>158</v>
      </c>
      <c r="D111" s="6" t="s">
        <v>59</v>
      </c>
      <c r="E111" s="11">
        <v>16689</v>
      </c>
      <c r="F111" s="11">
        <v>16674</v>
      </c>
      <c r="G111" s="11">
        <v>16954</v>
      </c>
      <c r="H111" s="11"/>
      <c r="I111" s="21"/>
      <c r="J111" s="21"/>
      <c r="K111" s="21"/>
    </row>
    <row r="112" spans="1:11" x14ac:dyDescent="0.35">
      <c r="A112" s="16" t="s">
        <v>83</v>
      </c>
      <c r="B112" s="9" t="s">
        <v>26</v>
      </c>
      <c r="C112" s="9" t="s">
        <v>158</v>
      </c>
      <c r="D112" s="6" t="s">
        <v>62</v>
      </c>
      <c r="E112" s="11"/>
      <c r="F112" s="11"/>
      <c r="G112" s="11">
        <v>14747</v>
      </c>
      <c r="H112" s="11"/>
      <c r="I112" s="21"/>
      <c r="J112" s="21"/>
      <c r="K112" s="21"/>
    </row>
    <row r="113" spans="1:11" x14ac:dyDescent="0.35">
      <c r="A113" s="3" t="s">
        <v>83</v>
      </c>
      <c r="B113" s="3" t="s">
        <v>127</v>
      </c>
      <c r="C113" s="3" t="s">
        <v>158</v>
      </c>
      <c r="D113" s="4" t="s">
        <v>128</v>
      </c>
      <c r="E113" s="19">
        <v>9126</v>
      </c>
      <c r="F113" s="10">
        <v>9187</v>
      </c>
      <c r="G113" s="10">
        <v>10364</v>
      </c>
      <c r="H113" s="10"/>
      <c r="I113" s="21"/>
      <c r="J113" s="21"/>
      <c r="K113" s="21"/>
    </row>
    <row r="114" spans="1:11" x14ac:dyDescent="0.35">
      <c r="A114" s="3" t="s">
        <v>83</v>
      </c>
      <c r="B114" s="3" t="s">
        <v>84</v>
      </c>
      <c r="C114" s="3" t="s">
        <v>158</v>
      </c>
      <c r="D114" s="4" t="s">
        <v>90</v>
      </c>
      <c r="E114" s="10"/>
      <c r="F114" s="10"/>
      <c r="G114" s="10">
        <v>10178</v>
      </c>
      <c r="H114" s="10"/>
      <c r="I114" s="21"/>
      <c r="J114" s="21"/>
      <c r="K114" s="21"/>
    </row>
    <row r="115" spans="1:11" x14ac:dyDescent="0.35">
      <c r="A115" s="16" t="s">
        <v>83</v>
      </c>
      <c r="B115" s="3" t="s">
        <v>26</v>
      </c>
      <c r="C115" s="3" t="s">
        <v>159</v>
      </c>
      <c r="D115" s="4" t="s">
        <v>136</v>
      </c>
      <c r="E115" s="10"/>
      <c r="F115" s="10">
        <v>8660</v>
      </c>
      <c r="G115" s="10">
        <v>8933</v>
      </c>
      <c r="H115" s="10"/>
      <c r="I115" s="21"/>
      <c r="J115" s="21"/>
      <c r="K115" s="21"/>
    </row>
    <row r="116" spans="1:11" x14ac:dyDescent="0.35">
      <c r="A116" s="16" t="s">
        <v>83</v>
      </c>
      <c r="B116" s="3" t="s">
        <v>24</v>
      </c>
      <c r="C116" s="3" t="s">
        <v>159</v>
      </c>
      <c r="D116" s="4" t="s">
        <v>137</v>
      </c>
      <c r="E116" s="10">
        <v>8117</v>
      </c>
      <c r="F116" s="10">
        <v>8099</v>
      </c>
      <c r="G116" s="10">
        <v>8278</v>
      </c>
      <c r="H116" s="10"/>
      <c r="I116" s="21"/>
      <c r="J116" s="21"/>
      <c r="K116" s="21"/>
    </row>
    <row r="117" spans="1:11" x14ac:dyDescent="0.35">
      <c r="A117" s="3" t="s">
        <v>75</v>
      </c>
      <c r="B117" s="3" t="s">
        <v>18</v>
      </c>
      <c r="C117" s="3" t="s">
        <v>157</v>
      </c>
      <c r="D117" s="4" t="s">
        <v>193</v>
      </c>
      <c r="E117" s="19"/>
      <c r="F117" s="10"/>
      <c r="G117" s="10"/>
      <c r="H117" s="10">
        <v>16283</v>
      </c>
      <c r="I117" s="21"/>
      <c r="J117" s="21"/>
      <c r="K117" s="21"/>
    </row>
    <row r="118" spans="1:11" x14ac:dyDescent="0.35">
      <c r="A118" s="20"/>
      <c r="B118" s="20"/>
      <c r="C118" s="20"/>
      <c r="D118" s="21"/>
      <c r="E118" s="22"/>
      <c r="F118" s="23"/>
      <c r="G118" s="23"/>
      <c r="H118" s="23"/>
      <c r="I118" s="21"/>
      <c r="J118" s="21"/>
      <c r="K118" s="21"/>
    </row>
    <row r="119" spans="1:11" x14ac:dyDescent="0.35">
      <c r="A119" s="20"/>
      <c r="B119" s="20"/>
      <c r="C119" s="20"/>
      <c r="D119" s="21"/>
      <c r="E119" s="22"/>
      <c r="F119" s="23"/>
      <c r="G119" s="23"/>
      <c r="H119" s="23"/>
      <c r="I119" s="21"/>
      <c r="J119" s="21"/>
      <c r="K119" s="21"/>
    </row>
    <row r="120" spans="1:11" x14ac:dyDescent="0.35">
      <c r="A120" s="20"/>
      <c r="B120" s="20"/>
      <c r="C120" s="20"/>
      <c r="D120" s="21"/>
      <c r="E120" s="22"/>
      <c r="F120" s="23"/>
      <c r="G120" s="23"/>
      <c r="H120" s="23"/>
      <c r="I120" s="21"/>
      <c r="J120" s="21"/>
      <c r="K120" s="21"/>
    </row>
    <row r="121" spans="1:11" x14ac:dyDescent="0.35">
      <c r="A121" s="20"/>
      <c r="B121" s="20"/>
      <c r="C121" s="20"/>
      <c r="D121" s="21"/>
      <c r="E121" s="22"/>
      <c r="F121" s="23"/>
      <c r="G121" s="23"/>
      <c r="H121" s="23"/>
      <c r="I121" s="21"/>
      <c r="J121" s="21"/>
      <c r="K121" s="21"/>
    </row>
    <row r="122" spans="1:11" x14ac:dyDescent="0.35">
      <c r="A122" s="20"/>
      <c r="B122" s="20"/>
      <c r="C122" s="20"/>
      <c r="D122" s="21"/>
      <c r="E122" s="22"/>
      <c r="F122" s="23"/>
      <c r="G122" s="23"/>
      <c r="H122" s="23"/>
      <c r="I122" s="21"/>
      <c r="J122" s="21"/>
      <c r="K122" s="21"/>
    </row>
    <row r="123" spans="1:11" x14ac:dyDescent="0.35">
      <c r="A123" s="20"/>
      <c r="B123" s="20"/>
      <c r="C123" s="20"/>
      <c r="D123" s="21"/>
      <c r="E123" s="22"/>
      <c r="F123" s="23"/>
      <c r="G123" s="23"/>
      <c r="H123" s="23"/>
      <c r="I123" s="21"/>
      <c r="J123" s="21"/>
      <c r="K123" s="21"/>
    </row>
    <row r="124" spans="1:11" x14ac:dyDescent="0.35">
      <c r="A124" s="20"/>
      <c r="B124" s="20"/>
      <c r="C124" s="20"/>
      <c r="D124" s="21"/>
      <c r="E124" s="22"/>
      <c r="F124" s="23"/>
      <c r="G124" s="23"/>
      <c r="H124" s="23"/>
      <c r="I124" s="21"/>
      <c r="J124" s="21"/>
      <c r="K124" s="21"/>
    </row>
    <row r="125" spans="1:11" x14ac:dyDescent="0.35">
      <c r="A125" s="20"/>
      <c r="B125" s="20"/>
      <c r="C125" s="20"/>
      <c r="D125" s="21"/>
      <c r="E125" s="22"/>
      <c r="F125" s="23"/>
      <c r="G125" s="23"/>
      <c r="H125" s="23"/>
      <c r="I125" s="21"/>
      <c r="J125" s="21"/>
      <c r="K125" s="21"/>
    </row>
    <row r="126" spans="1:11" x14ac:dyDescent="0.35">
      <c r="A126" s="20"/>
      <c r="B126" s="20"/>
      <c r="C126" s="20"/>
      <c r="D126" s="21"/>
      <c r="E126" s="22"/>
      <c r="F126" s="23"/>
      <c r="G126" s="23"/>
      <c r="H126" s="23"/>
      <c r="I126" s="21"/>
      <c r="J126" s="21"/>
      <c r="K126" s="21"/>
    </row>
    <row r="127" spans="1:11" x14ac:dyDescent="0.35">
      <c r="A127" s="20"/>
      <c r="B127" s="20"/>
      <c r="C127" s="20"/>
      <c r="D127" s="21"/>
      <c r="E127" s="22"/>
      <c r="F127" s="23"/>
      <c r="G127" s="23"/>
      <c r="H127" s="23"/>
      <c r="I127" s="21"/>
      <c r="J127" s="21"/>
      <c r="K127" s="21"/>
    </row>
    <row r="128" spans="1:11" x14ac:dyDescent="0.35">
      <c r="A128" s="20"/>
      <c r="B128" s="20"/>
      <c r="C128" s="20"/>
      <c r="D128" s="21"/>
      <c r="E128" s="22"/>
      <c r="F128" s="23"/>
      <c r="G128" s="23"/>
      <c r="H128" s="23"/>
      <c r="I128" s="21"/>
      <c r="J128" s="21"/>
      <c r="K128" s="21"/>
    </row>
  </sheetData>
  <autoFilter ref="A1:H1" xr:uid="{29B38C84-3227-4A80-8AF0-36625566A7B7}">
    <sortState xmlns:xlrd2="http://schemas.microsoft.com/office/spreadsheetml/2017/richdata2" ref="A2:H116">
      <sortCondition ref="A2:A116" customList="janvier,février,mars,avril,mai,juin,juillet,août,septembre,octobre,novembre,décembre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08E9-7E2B-471F-BE13-1972C6F9AAC1}">
  <dimension ref="A1:K41"/>
  <sheetViews>
    <sheetView workbookViewId="0">
      <selection activeCell="I8" sqref="I8"/>
    </sheetView>
  </sheetViews>
  <sheetFormatPr baseColWidth="10" defaultRowHeight="14.5" x14ac:dyDescent="0.35"/>
  <cols>
    <col min="1" max="1" width="12" style="17" customWidth="1"/>
    <col min="2" max="2" width="17.08984375" style="14" bestFit="1" customWidth="1"/>
    <col min="3" max="3" width="48.1796875" bestFit="1" customWidth="1"/>
    <col min="4" max="4" width="22.36328125" style="14" customWidth="1"/>
    <col min="5" max="5" width="11" style="18" customWidth="1"/>
    <col min="6" max="7" width="11" style="24" customWidth="1"/>
    <col min="8" max="8" width="11.08984375" style="24" customWidth="1"/>
  </cols>
  <sheetData>
    <row r="1" spans="1:11" x14ac:dyDescent="0.35">
      <c r="A1" s="15" t="s">
        <v>74</v>
      </c>
      <c r="B1" s="1" t="s">
        <v>0</v>
      </c>
      <c r="C1" s="2" t="s">
        <v>1</v>
      </c>
      <c r="D1" s="1" t="s">
        <v>195</v>
      </c>
      <c r="E1" s="2">
        <v>2023</v>
      </c>
      <c r="F1" s="2">
        <v>2024</v>
      </c>
      <c r="G1" s="13">
        <v>2025</v>
      </c>
      <c r="H1" s="13">
        <v>2026</v>
      </c>
    </row>
    <row r="2" spans="1:11" x14ac:dyDescent="0.35">
      <c r="A2" s="3" t="s">
        <v>104</v>
      </c>
      <c r="B2" s="3" t="s">
        <v>8</v>
      </c>
      <c r="C2" s="4" t="s">
        <v>121</v>
      </c>
      <c r="D2" s="3" t="s">
        <v>197</v>
      </c>
      <c r="E2" s="10">
        <v>51349</v>
      </c>
      <c r="F2" s="10">
        <v>55526</v>
      </c>
      <c r="G2" s="31">
        <v>59124</v>
      </c>
      <c r="H2" s="5"/>
    </row>
    <row r="3" spans="1:11" x14ac:dyDescent="0.35">
      <c r="A3" s="16" t="s">
        <v>92</v>
      </c>
      <c r="B3" s="3" t="s">
        <v>17</v>
      </c>
      <c r="C3" s="8" t="s">
        <v>115</v>
      </c>
      <c r="D3" s="3" t="s">
        <v>197</v>
      </c>
      <c r="E3" s="33">
        <v>48832</v>
      </c>
      <c r="F3" s="33">
        <v>53926</v>
      </c>
      <c r="G3" s="10">
        <v>56640</v>
      </c>
      <c r="H3" s="10"/>
    </row>
    <row r="4" spans="1:11" x14ac:dyDescent="0.35">
      <c r="A4" s="49" t="s">
        <v>92</v>
      </c>
      <c r="B4" s="43" t="s">
        <v>2</v>
      </c>
      <c r="C4" s="50" t="s">
        <v>111</v>
      </c>
      <c r="D4" s="43" t="s">
        <v>197</v>
      </c>
      <c r="E4" s="51">
        <v>51234</v>
      </c>
      <c r="F4" s="51">
        <v>54175</v>
      </c>
      <c r="G4" s="45">
        <v>55499</v>
      </c>
      <c r="H4" s="45"/>
    </row>
    <row r="5" spans="1:11" x14ac:dyDescent="0.35">
      <c r="A5" s="16" t="s">
        <v>95</v>
      </c>
      <c r="B5" s="3" t="s">
        <v>108</v>
      </c>
      <c r="C5" s="8" t="s">
        <v>120</v>
      </c>
      <c r="D5" s="3" t="s">
        <v>197</v>
      </c>
      <c r="E5" s="33">
        <v>48155</v>
      </c>
      <c r="F5" s="33">
        <v>52027</v>
      </c>
      <c r="G5" s="10">
        <v>54187</v>
      </c>
      <c r="H5" s="10"/>
    </row>
    <row r="6" spans="1:11" x14ac:dyDescent="0.35">
      <c r="A6" s="16" t="s">
        <v>93</v>
      </c>
      <c r="B6" s="3" t="s">
        <v>7</v>
      </c>
      <c r="C6" s="6" t="s">
        <v>119</v>
      </c>
      <c r="D6" s="3" t="s">
        <v>197</v>
      </c>
      <c r="E6" s="11">
        <v>43051</v>
      </c>
      <c r="F6" s="11">
        <v>54168</v>
      </c>
      <c r="G6" s="11">
        <v>48361</v>
      </c>
      <c r="H6" s="11"/>
    </row>
    <row r="7" spans="1:11" x14ac:dyDescent="0.35">
      <c r="A7" s="49" t="s">
        <v>75</v>
      </c>
      <c r="B7" s="43" t="s">
        <v>2</v>
      </c>
      <c r="C7" s="50" t="s">
        <v>164</v>
      </c>
      <c r="D7" s="43" t="s">
        <v>201</v>
      </c>
      <c r="E7" s="51">
        <v>45387</v>
      </c>
      <c r="F7" s="51">
        <v>47856</v>
      </c>
      <c r="G7" s="51">
        <v>47633</v>
      </c>
      <c r="H7" s="51">
        <v>49234</v>
      </c>
    </row>
    <row r="8" spans="1:11" x14ac:dyDescent="0.35">
      <c r="A8" s="16" t="s">
        <v>91</v>
      </c>
      <c r="B8" s="3" t="s">
        <v>3</v>
      </c>
      <c r="C8" s="4" t="s">
        <v>4</v>
      </c>
      <c r="D8" s="3" t="s">
        <v>201</v>
      </c>
      <c r="E8" s="10"/>
      <c r="F8" s="10">
        <v>40765</v>
      </c>
      <c r="G8" s="10">
        <v>46706</v>
      </c>
      <c r="H8" s="10"/>
    </row>
    <row r="9" spans="1:11" x14ac:dyDescent="0.35">
      <c r="A9" s="16" t="s">
        <v>93</v>
      </c>
      <c r="B9" s="3" t="s">
        <v>5</v>
      </c>
      <c r="C9" s="6" t="s">
        <v>102</v>
      </c>
      <c r="D9" s="3" t="s">
        <v>201</v>
      </c>
      <c r="E9" s="11"/>
      <c r="F9" s="11"/>
      <c r="G9" s="11">
        <v>46258</v>
      </c>
      <c r="H9" s="11"/>
    </row>
    <row r="10" spans="1:11" x14ac:dyDescent="0.35">
      <c r="A10" s="16" t="s">
        <v>91</v>
      </c>
      <c r="B10" s="3" t="s">
        <v>173</v>
      </c>
      <c r="C10" s="8" t="s">
        <v>174</v>
      </c>
      <c r="D10" s="3" t="s">
        <v>198</v>
      </c>
      <c r="E10" s="33">
        <v>35639</v>
      </c>
      <c r="F10" s="33">
        <v>41274</v>
      </c>
      <c r="G10" s="10">
        <v>45055</v>
      </c>
      <c r="H10" s="10"/>
    </row>
    <row r="11" spans="1:11" x14ac:dyDescent="0.35">
      <c r="A11" s="16" t="s">
        <v>95</v>
      </c>
      <c r="B11" s="9" t="s">
        <v>31</v>
      </c>
      <c r="C11" s="6" t="s">
        <v>125</v>
      </c>
      <c r="D11" s="9" t="s">
        <v>200</v>
      </c>
      <c r="E11" s="11"/>
      <c r="F11" s="11"/>
      <c r="G11" s="11">
        <v>44578</v>
      </c>
      <c r="H11" s="11"/>
    </row>
    <row r="12" spans="1:11" x14ac:dyDescent="0.35">
      <c r="A12" s="16" t="s">
        <v>96</v>
      </c>
      <c r="B12" s="3" t="s">
        <v>165</v>
      </c>
      <c r="C12" s="8" t="s">
        <v>166</v>
      </c>
      <c r="D12" s="3" t="s">
        <v>198</v>
      </c>
      <c r="E12" s="33">
        <v>41806</v>
      </c>
      <c r="F12" s="33">
        <v>43339</v>
      </c>
      <c r="G12" s="10">
        <v>43654</v>
      </c>
      <c r="H12" s="10"/>
      <c r="I12" s="21"/>
      <c r="J12" s="21"/>
      <c r="K12" s="21"/>
    </row>
    <row r="13" spans="1:11" x14ac:dyDescent="0.35">
      <c r="A13" s="16" t="s">
        <v>94</v>
      </c>
      <c r="B13" s="3" t="s">
        <v>6</v>
      </c>
      <c r="C13" s="4" t="s">
        <v>43</v>
      </c>
      <c r="D13" s="3" t="s">
        <v>201</v>
      </c>
      <c r="E13" s="10" t="s">
        <v>172</v>
      </c>
      <c r="F13" s="10" t="s">
        <v>172</v>
      </c>
      <c r="G13" s="10">
        <v>40241</v>
      </c>
      <c r="H13" s="10"/>
      <c r="I13" s="21"/>
      <c r="J13" s="21"/>
      <c r="K13" s="21"/>
    </row>
    <row r="14" spans="1:11" x14ac:dyDescent="0.35">
      <c r="A14" s="3" t="s">
        <v>92</v>
      </c>
      <c r="B14" s="3" t="s">
        <v>161</v>
      </c>
      <c r="C14" s="6" t="s">
        <v>162</v>
      </c>
      <c r="D14" s="3" t="s">
        <v>198</v>
      </c>
      <c r="E14" s="28">
        <v>25108</v>
      </c>
      <c r="F14" s="28">
        <v>34990</v>
      </c>
      <c r="G14" s="10">
        <v>39385</v>
      </c>
      <c r="H14" s="10"/>
      <c r="I14" s="21"/>
      <c r="J14" s="21"/>
      <c r="K14" s="21"/>
    </row>
    <row r="15" spans="1:11" x14ac:dyDescent="0.35">
      <c r="A15" s="16" t="s">
        <v>83</v>
      </c>
      <c r="B15" s="3" t="s">
        <v>15</v>
      </c>
      <c r="C15" s="8" t="s">
        <v>167</v>
      </c>
      <c r="D15" s="3" t="s">
        <v>198</v>
      </c>
      <c r="E15" s="33">
        <v>31292</v>
      </c>
      <c r="F15" s="33">
        <v>34982</v>
      </c>
      <c r="G15" s="31">
        <v>36534</v>
      </c>
      <c r="H15" s="5"/>
      <c r="I15" s="21"/>
      <c r="J15" s="21"/>
      <c r="K15" s="21"/>
    </row>
    <row r="16" spans="1:11" x14ac:dyDescent="0.35">
      <c r="A16" s="16" t="s">
        <v>75</v>
      </c>
      <c r="B16" s="3" t="s">
        <v>27</v>
      </c>
      <c r="C16" s="12" t="s">
        <v>112</v>
      </c>
      <c r="D16" s="3" t="s">
        <v>197</v>
      </c>
      <c r="E16" s="10">
        <v>36560</v>
      </c>
      <c r="F16" s="10">
        <v>35443</v>
      </c>
      <c r="G16" s="31">
        <v>36204</v>
      </c>
      <c r="H16" s="5">
        <v>37244</v>
      </c>
      <c r="I16" s="21"/>
      <c r="J16" s="21"/>
      <c r="K16" s="21"/>
    </row>
    <row r="17" spans="1:11" x14ac:dyDescent="0.35">
      <c r="A17" s="16" t="s">
        <v>75</v>
      </c>
      <c r="B17" s="3" t="s">
        <v>7</v>
      </c>
      <c r="C17" s="8" t="s">
        <v>44</v>
      </c>
      <c r="D17" s="3" t="s">
        <v>201</v>
      </c>
      <c r="E17" s="33">
        <v>26104</v>
      </c>
      <c r="F17" s="33">
        <v>30904</v>
      </c>
      <c r="G17" s="31">
        <v>34742</v>
      </c>
      <c r="H17" s="5"/>
      <c r="I17" s="21"/>
      <c r="J17" s="21"/>
      <c r="K17" s="21"/>
    </row>
    <row r="18" spans="1:11" x14ac:dyDescent="0.35">
      <c r="A18" s="43" t="s">
        <v>94</v>
      </c>
      <c r="B18" s="43" t="s">
        <v>2</v>
      </c>
      <c r="C18" s="44" t="s">
        <v>163</v>
      </c>
      <c r="D18" s="43" t="s">
        <v>198</v>
      </c>
      <c r="E18" s="45">
        <v>24629</v>
      </c>
      <c r="F18" s="45">
        <v>29610</v>
      </c>
      <c r="G18" s="46">
        <v>34353</v>
      </c>
      <c r="H18" s="47"/>
      <c r="I18" s="21"/>
      <c r="J18" s="21"/>
      <c r="K18" s="21"/>
    </row>
    <row r="19" spans="1:11" x14ac:dyDescent="0.35">
      <c r="A19" s="16" t="s">
        <v>110</v>
      </c>
      <c r="B19" s="3" t="s">
        <v>16</v>
      </c>
      <c r="C19" s="4" t="s">
        <v>118</v>
      </c>
      <c r="D19" s="3" t="s">
        <v>197</v>
      </c>
      <c r="E19" s="10">
        <v>13297</v>
      </c>
      <c r="F19" s="10">
        <v>20284</v>
      </c>
      <c r="G19" s="31">
        <v>32963</v>
      </c>
      <c r="H19" s="5"/>
      <c r="I19" s="21"/>
      <c r="J19" s="21"/>
      <c r="K19" s="21"/>
    </row>
    <row r="20" spans="1:11" x14ac:dyDescent="0.35">
      <c r="A20" s="43" t="s">
        <v>95</v>
      </c>
      <c r="B20" s="43" t="s">
        <v>169</v>
      </c>
      <c r="C20" s="50" t="s">
        <v>170</v>
      </c>
      <c r="D20" s="74" t="s">
        <v>199</v>
      </c>
      <c r="E20" s="51"/>
      <c r="F20" s="51"/>
      <c r="G20" s="71">
        <v>32767</v>
      </c>
      <c r="H20" s="72"/>
      <c r="I20" s="21"/>
      <c r="J20" s="21"/>
      <c r="K20" s="21"/>
    </row>
    <row r="21" spans="1:11" x14ac:dyDescent="0.35">
      <c r="A21" s="16" t="s">
        <v>93</v>
      </c>
      <c r="B21" s="3" t="s">
        <v>6</v>
      </c>
      <c r="C21" s="8" t="s">
        <v>45</v>
      </c>
      <c r="D21" s="3" t="s">
        <v>201</v>
      </c>
      <c r="E21" s="33">
        <v>24381</v>
      </c>
      <c r="F21" s="33">
        <v>27716</v>
      </c>
      <c r="G21" s="10">
        <v>31440</v>
      </c>
      <c r="H21" s="10"/>
      <c r="I21" s="21"/>
      <c r="J21" s="21"/>
      <c r="K21" s="21"/>
    </row>
    <row r="22" spans="1:11" x14ac:dyDescent="0.35">
      <c r="A22" s="16" t="s">
        <v>75</v>
      </c>
      <c r="B22" s="3" t="s">
        <v>175</v>
      </c>
      <c r="C22" s="4" t="s">
        <v>176</v>
      </c>
      <c r="D22" s="3" t="s">
        <v>198</v>
      </c>
      <c r="E22" s="10">
        <v>22336</v>
      </c>
      <c r="F22" s="10">
        <v>26744</v>
      </c>
      <c r="G22" s="10">
        <v>31203</v>
      </c>
      <c r="H22" s="10"/>
      <c r="I22" s="21"/>
      <c r="J22" s="21"/>
      <c r="K22" s="21"/>
    </row>
    <row r="23" spans="1:11" x14ac:dyDescent="0.35">
      <c r="A23" s="16" t="s">
        <v>83</v>
      </c>
      <c r="B23" s="3" t="s">
        <v>10</v>
      </c>
      <c r="C23" s="6" t="s">
        <v>126</v>
      </c>
      <c r="D23" s="3" t="s">
        <v>197</v>
      </c>
      <c r="E23" s="11">
        <v>25905</v>
      </c>
      <c r="F23" s="11">
        <v>28182</v>
      </c>
      <c r="G23" s="11">
        <v>30772</v>
      </c>
      <c r="H23" s="11"/>
      <c r="I23" s="21"/>
      <c r="J23" s="21"/>
      <c r="K23" s="21"/>
    </row>
    <row r="24" spans="1:11" x14ac:dyDescent="0.35">
      <c r="A24" s="3" t="s">
        <v>95</v>
      </c>
      <c r="B24" s="9" t="s">
        <v>33</v>
      </c>
      <c r="C24" s="6" t="s">
        <v>177</v>
      </c>
      <c r="D24" s="9" t="s">
        <v>197</v>
      </c>
      <c r="E24" s="11">
        <v>13819</v>
      </c>
      <c r="F24" s="11">
        <v>16167</v>
      </c>
      <c r="G24" s="11">
        <v>30085</v>
      </c>
      <c r="H24" s="11"/>
      <c r="I24" s="21"/>
      <c r="J24" s="21"/>
      <c r="K24" s="21"/>
    </row>
    <row r="25" spans="1:11" x14ac:dyDescent="0.35">
      <c r="A25" s="16" t="s">
        <v>91</v>
      </c>
      <c r="B25" s="3" t="s">
        <v>13</v>
      </c>
      <c r="C25" s="6" t="s">
        <v>101</v>
      </c>
      <c r="D25" s="3" t="s">
        <v>202</v>
      </c>
      <c r="E25" s="11"/>
      <c r="F25" s="11"/>
      <c r="G25" s="11">
        <v>29078</v>
      </c>
      <c r="H25" s="11"/>
      <c r="I25" s="21"/>
      <c r="J25" s="21"/>
      <c r="K25" s="21"/>
    </row>
    <row r="26" spans="1:11" x14ac:dyDescent="0.35">
      <c r="A26" s="16" t="s">
        <v>75</v>
      </c>
      <c r="B26" s="3" t="s">
        <v>8</v>
      </c>
      <c r="C26" s="8" t="s">
        <v>46</v>
      </c>
      <c r="D26" s="3" t="s">
        <v>201</v>
      </c>
      <c r="E26" s="33"/>
      <c r="F26" s="33"/>
      <c r="G26" s="31">
        <v>28677</v>
      </c>
      <c r="H26" s="5">
        <v>30228</v>
      </c>
      <c r="I26" s="21"/>
      <c r="J26" s="21"/>
      <c r="K26" s="21"/>
    </row>
    <row r="27" spans="1:11" x14ac:dyDescent="0.35">
      <c r="A27" s="16" t="s">
        <v>92</v>
      </c>
      <c r="B27" s="3" t="s">
        <v>113</v>
      </c>
      <c r="C27" s="4" t="s">
        <v>114</v>
      </c>
      <c r="D27" s="3" t="s">
        <v>197</v>
      </c>
      <c r="E27" s="10">
        <v>26715</v>
      </c>
      <c r="F27" s="10">
        <v>25660</v>
      </c>
      <c r="G27" s="31">
        <v>28506</v>
      </c>
      <c r="H27" s="5"/>
      <c r="I27" s="21"/>
      <c r="J27" s="21"/>
      <c r="K27" s="21"/>
    </row>
    <row r="28" spans="1:11" x14ac:dyDescent="0.35">
      <c r="A28" s="16" t="s">
        <v>91</v>
      </c>
      <c r="B28" s="3" t="s">
        <v>8</v>
      </c>
      <c r="C28" s="8" t="s">
        <v>47</v>
      </c>
      <c r="D28" s="3" t="s">
        <v>201</v>
      </c>
      <c r="E28" s="33"/>
      <c r="F28" s="33"/>
      <c r="G28" s="75">
        <v>28474</v>
      </c>
      <c r="H28" s="76"/>
      <c r="I28" s="21"/>
      <c r="J28" s="21"/>
      <c r="K28" s="21"/>
    </row>
    <row r="29" spans="1:11" x14ac:dyDescent="0.35">
      <c r="A29" s="16" t="s">
        <v>77</v>
      </c>
      <c r="B29" s="3" t="s">
        <v>9</v>
      </c>
      <c r="C29" s="8" t="s">
        <v>48</v>
      </c>
      <c r="D29" s="3" t="s">
        <v>201</v>
      </c>
      <c r="E29" s="33">
        <v>17624</v>
      </c>
      <c r="F29" s="33">
        <v>24104</v>
      </c>
      <c r="G29" s="31">
        <v>26961</v>
      </c>
      <c r="H29" s="5">
        <v>31103</v>
      </c>
      <c r="I29" s="21"/>
      <c r="J29" s="21"/>
      <c r="K29" s="21"/>
    </row>
    <row r="30" spans="1:11" x14ac:dyDescent="0.35">
      <c r="A30" s="3" t="s">
        <v>75</v>
      </c>
      <c r="B30" s="3" t="s">
        <v>18</v>
      </c>
      <c r="C30" s="4" t="s">
        <v>98</v>
      </c>
      <c r="D30" s="3" t="s">
        <v>196</v>
      </c>
      <c r="E30" s="19"/>
      <c r="F30" s="10"/>
      <c r="G30" s="10"/>
      <c r="H30" s="10">
        <v>47641</v>
      </c>
      <c r="I30" s="21"/>
      <c r="J30" s="21"/>
      <c r="K30" s="21"/>
    </row>
    <row r="31" spans="1:11" x14ac:dyDescent="0.35">
      <c r="A31" s="20"/>
      <c r="B31" s="20"/>
      <c r="C31" s="21"/>
      <c r="D31" s="20"/>
      <c r="E31" s="22"/>
      <c r="F31" s="23"/>
      <c r="G31" s="23"/>
      <c r="H31" s="23"/>
      <c r="I31" s="21"/>
      <c r="J31" s="21"/>
      <c r="K31" s="21"/>
    </row>
    <row r="32" spans="1:11" x14ac:dyDescent="0.35">
      <c r="A32" s="20"/>
      <c r="B32" s="20"/>
      <c r="C32" s="21"/>
      <c r="D32" s="20"/>
      <c r="E32" s="22"/>
      <c r="F32" s="23"/>
      <c r="G32" s="23"/>
      <c r="H32" s="23"/>
      <c r="I32" s="21"/>
      <c r="J32" s="21"/>
      <c r="K32" s="21"/>
    </row>
    <row r="33" spans="1:11" x14ac:dyDescent="0.35">
      <c r="A33" s="20"/>
      <c r="B33" s="20"/>
      <c r="C33" s="21"/>
      <c r="D33" s="20"/>
      <c r="E33" s="22"/>
      <c r="F33" s="23"/>
      <c r="G33" s="23"/>
      <c r="H33" s="23"/>
      <c r="I33" s="21"/>
      <c r="J33" s="21"/>
      <c r="K33" s="21"/>
    </row>
    <row r="34" spans="1:11" x14ac:dyDescent="0.35">
      <c r="A34" s="20"/>
      <c r="B34" s="20"/>
      <c r="C34" s="21"/>
      <c r="D34" s="20"/>
      <c r="E34" s="22"/>
      <c r="F34" s="23"/>
      <c r="G34" s="23"/>
      <c r="H34" s="23"/>
      <c r="I34" s="21"/>
      <c r="J34" s="21"/>
      <c r="K34" s="21"/>
    </row>
    <row r="35" spans="1:11" x14ac:dyDescent="0.35">
      <c r="A35" s="20"/>
      <c r="B35" s="20"/>
      <c r="C35" s="21"/>
      <c r="D35" s="20"/>
      <c r="E35" s="22"/>
      <c r="F35" s="23"/>
      <c r="G35" s="23"/>
      <c r="H35" s="23"/>
      <c r="I35" s="21"/>
      <c r="J35" s="21"/>
      <c r="K35" s="21"/>
    </row>
    <row r="36" spans="1:11" x14ac:dyDescent="0.35">
      <c r="A36" s="20"/>
      <c r="B36" s="20"/>
      <c r="C36" s="21"/>
      <c r="D36" s="20"/>
      <c r="E36" s="22"/>
      <c r="F36" s="23"/>
      <c r="G36" s="23"/>
      <c r="H36" s="23"/>
      <c r="I36" s="21"/>
      <c r="J36" s="21"/>
      <c r="K36" s="21"/>
    </row>
    <row r="37" spans="1:11" x14ac:dyDescent="0.35">
      <c r="A37" s="20"/>
      <c r="B37" s="20"/>
      <c r="C37" s="21"/>
      <c r="D37" s="20"/>
      <c r="E37" s="22"/>
      <c r="F37" s="23"/>
      <c r="G37" s="23"/>
      <c r="H37" s="23"/>
      <c r="I37" s="21"/>
      <c r="J37" s="21"/>
      <c r="K37" s="21"/>
    </row>
    <row r="38" spans="1:11" x14ac:dyDescent="0.35">
      <c r="A38" s="20"/>
      <c r="B38" s="20"/>
      <c r="C38" s="21"/>
      <c r="D38" s="20"/>
      <c r="E38" s="22"/>
      <c r="F38" s="23"/>
      <c r="G38" s="23"/>
      <c r="H38" s="23"/>
      <c r="I38" s="21"/>
      <c r="J38" s="21"/>
      <c r="K38" s="21"/>
    </row>
    <row r="39" spans="1:11" x14ac:dyDescent="0.35">
      <c r="A39" s="20"/>
      <c r="B39" s="20"/>
      <c r="C39" s="21"/>
      <c r="D39" s="20"/>
      <c r="E39" s="22"/>
      <c r="F39" s="23"/>
      <c r="G39" s="23"/>
      <c r="H39" s="23"/>
      <c r="I39" s="21"/>
      <c r="J39" s="21"/>
      <c r="K39" s="21"/>
    </row>
    <row r="40" spans="1:11" x14ac:dyDescent="0.35">
      <c r="A40" s="20"/>
      <c r="B40" s="20"/>
      <c r="C40" s="21"/>
      <c r="D40" s="20"/>
      <c r="E40" s="22"/>
      <c r="F40" s="23"/>
      <c r="G40" s="23"/>
      <c r="H40" s="23"/>
      <c r="I40" s="21"/>
      <c r="J40" s="21"/>
      <c r="K40" s="21"/>
    </row>
    <row r="41" spans="1:11" x14ac:dyDescent="0.35">
      <c r="A41" s="20"/>
      <c r="B41" s="20"/>
      <c r="C41" s="21"/>
      <c r="D41" s="20"/>
      <c r="E41" s="22"/>
      <c r="F41" s="23"/>
      <c r="G41" s="23"/>
      <c r="H41" s="23"/>
      <c r="I41" s="21"/>
      <c r="J41" s="21"/>
      <c r="K41" s="21"/>
    </row>
  </sheetData>
  <autoFilter ref="A1:H1" xr:uid="{29B38C84-3227-4A80-8AF0-36625566A7B7}">
    <sortState xmlns:xlrd2="http://schemas.microsoft.com/office/spreadsheetml/2017/richdata2" ref="A2:H30">
      <sortCondition descending="1" ref="G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10K</vt:lpstr>
      <vt:lpstr>21K</vt:lpstr>
      <vt:lpstr>42K</vt:lpstr>
      <vt:lpstr>ALL</vt:lpstr>
      <vt:lpstr>BIGGEST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 Mathis</dc:creator>
  <cp:lastModifiedBy>BRUN Mathis</cp:lastModifiedBy>
  <dcterms:created xsi:type="dcterms:W3CDTF">2026-02-26T09:13:16Z</dcterms:created>
  <dcterms:modified xsi:type="dcterms:W3CDTF">2026-03-17T16:53:43Z</dcterms:modified>
</cp:coreProperties>
</file>