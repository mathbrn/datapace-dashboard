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📈 Participation" sheetId="2" state="visible" r:id="rId4"/>
    <sheet name="⏱ Temps Moyens" sheetId="3" state="visible" r:id="rId5"/>
    <sheet name="👥 Genre" sheetId="4" state="visible" r:id="rId6"/>
    <sheet name="🎂 Âge" sheetId="5" state="visible" r:id="rId7"/>
    <sheet name="🌍 Pays" sheetId="6" state="visible" r:id="rId8"/>
    <sheet name="📋 Données Bru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<sst xmlns="http://schemas.openxmlformats.org/spreadsheetml/2006/main" count="901" uniqueCount="444">
  <si>
    <t xml:space="preserve">🏃  THE STATE OF RUNNING — GLOBAL DASHBOARD</t>
  </si>
  <si>
    <t xml:space="preserve">Source: RunRepeat / IAAF — 107.9 million race results · 70,000+ events · 209 countries · 1986–2018</t>
  </si>
  <si>
    <t xml:space="preserve">Résultats analysés</t>
  </si>
  <si>
    <t xml:space="preserve">Événements couverts</t>
  </si>
  <si>
    <t xml:space="preserve">Pays représentés</t>
  </si>
  <si>
    <t xml:space="preserve">Période couverte</t>
  </si>
  <si>
    <t xml:space="preserve">Finishers 5K (2018)</t>
  </si>
  <si>
    <t xml:space="preserve">Âge moyen (2018)</t>
  </si>
  <si>
    <t xml:space="preserve">% Femmes (2018)</t>
  </si>
  <si>
    <t xml:space="preserve">Temps moyen Marathon</t>
  </si>
  <si>
    <t xml:space="preserve">107.9M</t>
  </si>
  <si>
    <t xml:space="preserve">70 000+</t>
  </si>
  <si>
    <t xml:space="preserve">209</t>
  </si>
  <si>
    <t xml:space="preserve">1986–2018</t>
  </si>
  <si>
    <t xml:space="preserve">2.9M</t>
  </si>
  <si>
    <t xml:space="preserve">39.3 ans</t>
  </si>
  <si>
    <t xml:space="preserve">50.24%</t>
  </si>
  <si>
    <t xml:space="preserve">4:32:49</t>
  </si>
  <si>
    <t xml:space="preserve">PARTICIPATION PAR DISTANCE (2018)</t>
  </si>
  <si>
    <t xml:space="preserve">ÉVOLUTION DU % DE FEMMES (1986–2018)</t>
  </si>
  <si>
    <t xml:space="preserve">Distance</t>
  </si>
  <si>
    <t xml:space="preserve">Finishers (millions)</t>
  </si>
  <si>
    <t xml:space="preserve">Année</t>
  </si>
  <si>
    <t xml:space="preserve">% Femmes</t>
  </si>
  <si>
    <t xml:space="preserve">5K</t>
  </si>
  <si>
    <t xml:space="preserve">10K</t>
  </si>
  <si>
    <t xml:space="preserve">Semi-marathon</t>
  </si>
  <si>
    <t xml:space="preserve">Marathon</t>
  </si>
  <si>
    <t xml:space="preserve">TEMPS MOYEN PAR DISTANCE &amp; GENRE</t>
  </si>
  <si>
    <t xml:space="preserve">ÂGE MOYEN PAR DISTANCE (ÉVOLUTION)</t>
  </si>
  <si>
    <t xml:space="preserve">Hommes</t>
  </si>
  <si>
    <t xml:space="preserve">Femmes</t>
  </si>
  <si>
    <t xml:space="preserve">Âge ~2000</t>
  </si>
  <si>
    <t xml:space="preserve">Âge 2018</t>
  </si>
  <si>
    <t xml:space="preserve">Évolution</t>
  </si>
  <si>
    <t xml:space="preserve">31:28</t>
  </si>
  <si>
    <t xml:space="preserve">37:28</t>
  </si>
  <si>
    <t xml:space="preserve">+25%</t>
  </si>
  <si>
    <t xml:space="preserve">57:15</t>
  </si>
  <si>
    <t xml:space="preserve">1:06:54</t>
  </si>
  <si>
    <t xml:space="preserve">+23%</t>
  </si>
  <si>
    <t xml:space="preserve">1:59:48</t>
  </si>
  <si>
    <t xml:space="preserve">2:24:03</t>
  </si>
  <si>
    <t xml:space="preserve">+3%</t>
  </si>
  <si>
    <t xml:space="preserve">4:06</t>
  </si>
  <si>
    <t xml:space="preserve">4:42</t>
  </si>
  <si>
    <t xml:space="preserve">+6%</t>
  </si>
  <si>
    <t xml:space="preserve">PAYS LES PLUS RAPIDES PAR DISTANCE</t>
  </si>
  <si>
    <t xml:space="preserve">DISTRIBUTION DES DISTANCES (PARTS DE MARCHÉ 2018)</t>
  </si>
  <si>
    <t xml:space="preserve">Rang 1</t>
  </si>
  <si>
    <t xml:space="preserve">Temps</t>
  </si>
  <si>
    <t xml:space="preserve">Rang 2</t>
  </si>
  <si>
    <t xml:space="preserve">Rang 3</t>
  </si>
  <si>
    <t xml:space="preserve">Part (%)</t>
  </si>
  <si>
    <t xml:space="preserve">Suisse</t>
  </si>
  <si>
    <t xml:space="preserve">3:50:00</t>
  </si>
  <si>
    <t xml:space="preserve">Pays-Bas</t>
  </si>
  <si>
    <t xml:space="preserve">3:52:00</t>
  </si>
  <si>
    <t xml:space="preserve">Espagne</t>
  </si>
  <si>
    <t xml:space="preserve">Russie</t>
  </si>
  <si>
    <t xml:space="preserve">1:45:11</t>
  </si>
  <si>
    <t xml:space="preserve">Belgique</t>
  </si>
  <si>
    <t xml:space="preserve">1:48:01</t>
  </si>
  <si>
    <t xml:space="preserve">1:50:20</t>
  </si>
  <si>
    <t xml:space="preserve">—</t>
  </si>
  <si>
    <t xml:space="preserve">Russ.</t>
  </si>
  <si>
    <t xml:space="preserve">Belg.</t>
  </si>
  <si>
    <t xml:space="preserve">Ukraine</t>
  </si>
  <si>
    <t xml:space="preserve">Hongrie</t>
  </si>
  <si>
    <t xml:space="preserve">Source: RunRepeat — The State of Running 2019 (IAAF) · runrepeat.com/state-of-running</t>
  </si>
  <si>
    <t xml:space="preserve">PARTICIPATION AUX COURSES — DONNÉES MONDIALES</t>
  </si>
  <si>
    <t xml:space="preserve">Source : RunRepeat / IAAF — 107.9 millions de résultats (1986–2018)</t>
  </si>
  <si>
    <t xml:space="preserve">FINISHERS PAR DISTANCE (2018)</t>
  </si>
  <si>
    <t xml:space="preserve">Part du total (%)</t>
  </si>
  <si>
    <t xml:space="preserve">TOTAL</t>
  </si>
  <si>
    <t xml:space="preserve">CROISSANCE MARATHON (2008–2018)</t>
  </si>
  <si>
    <t xml:space="preserve">Segment</t>
  </si>
  <si>
    <t xml:space="preserve">Croissance 2008–2018</t>
  </si>
  <si>
    <t xml:space="preserve">Finishers 2018</t>
  </si>
  <si>
    <t xml:space="preserve">Finishers 2024</t>
  </si>
  <si>
    <t xml:space="preserve">Total</t>
  </si>
  <si>
    <t xml:space="preserve">+49.43%</t>
  </si>
  <si>
    <t xml:space="preserve">1 298 725</t>
  </si>
  <si>
    <t xml:space="preserve">432 562</t>
  </si>
  <si>
    <t xml:space="preserve">+56.83%</t>
  </si>
  <si>
    <t xml:space="preserve">~600 000</t>
  </si>
  <si>
    <t xml:space="preserve">~177 000</t>
  </si>
  <si>
    <t xml:space="preserve">+46.91%</t>
  </si>
  <si>
    <t xml:space="preserve">~700 000</t>
  </si>
  <si>
    <t xml:space="preserve">~255 000</t>
  </si>
  <si>
    <t xml:space="preserve">PRÉFÉRENCE DE DISTANCE PAR CONTINENT</t>
  </si>
  <si>
    <t xml:space="preserve">Continent</t>
  </si>
  <si>
    <t xml:space="preserve">Distance favorite</t>
  </si>
  <si>
    <t xml:space="preserve">Note</t>
  </si>
  <si>
    <t xml:space="preserve">Amérique du Nord</t>
  </si>
  <si>
    <t xml:space="preserve">~60% de femmes en 5K</t>
  </si>
  <si>
    <t xml:space="preserve">Europe</t>
  </si>
  <si>
    <t xml:space="preserve">Plus grande diversité de distances</t>
  </si>
  <si>
    <t xml:space="preserve">Asie</t>
  </si>
  <si>
    <t xml:space="preserve">Croissance explosive en Chine</t>
  </si>
  <si>
    <t xml:space="preserve">Afrique du Sud</t>
  </si>
  <si>
    <t xml:space="preserve">Très populaire localement</t>
  </si>
  <si>
    <t xml:space="preserve">Philippines</t>
  </si>
  <si>
    <t xml:space="preserve">Distance la plus courue</t>
  </si>
  <si>
    <t xml:space="preserve">CROISSANCE DE LA CHINE (COURSES SANCTIONNÉES)</t>
  </si>
  <si>
    <t xml:space="preserve">Nb de courses</t>
  </si>
  <si>
    <t xml:space="preserve">Croissance</t>
  </si>
  <si>
    <t xml:space="preserve">+1418%</t>
  </si>
  <si>
    <t xml:space="preserve">+374%</t>
  </si>
  <si>
    <t xml:space="preserve">TEMPS MOYENS PAR DISTANCE, GENRE ET PAYS</t>
  </si>
  <si>
    <t xml:space="preserve">Source : RunRepeat — The State of Running 2019</t>
  </si>
  <si>
    <t xml:space="preserve">TEMPS MOYEN PAR DISTANCE ET GENRE</t>
  </si>
  <si>
    <t xml:space="preserve">Écart (min)</t>
  </si>
  <si>
    <t xml:space="preserve">% Écart</t>
  </si>
  <si>
    <t xml:space="preserve">4:06:00</t>
  </si>
  <si>
    <t xml:space="preserve">4:42:00</t>
  </si>
  <si>
    <t xml:space="preserve">ÉVOLUTION DU TEMPS MOYEN MARATHON (MONDIAL)</t>
  </si>
  <si>
    <t xml:space="preserve">Temps moyen</t>
  </si>
  <si>
    <t xml:space="preserve">Écart vs 1986 (min)</t>
  </si>
  <si>
    <t xml:space="preserve">Remarque</t>
  </si>
  <si>
    <t xml:space="preserve">3:52:35</t>
  </si>
  <si>
    <t xml:space="preserve">Référence historique</t>
  </si>
  <si>
    <t xml:space="preserve">4:05:00</t>
  </si>
  <si>
    <t xml:space="preserve">+12</t>
  </si>
  <si>
    <t xml:space="preserve">Progression continue</t>
  </si>
  <si>
    <t xml:space="preserve">4:28:56</t>
  </si>
  <si>
    <t xml:space="preserve">+36</t>
  </si>
  <si>
    <t xml:space="preserve">Pic de ralentissement</t>
  </si>
  <si>
    <t xml:space="preserve">4:31:00</t>
  </si>
  <si>
    <t xml:space="preserve">+38</t>
  </si>
  <si>
    <t xml:space="preserve">Stabilisation</t>
  </si>
  <si>
    <t xml:space="preserve">+40</t>
  </si>
  <si>
    <t xml:space="preserve">Record de lenteur historique</t>
  </si>
  <si>
    <t xml:space="preserve">4:39:00</t>
  </si>
  <si>
    <t xml:space="preserve">+46</t>
  </si>
  <si>
    <t xml:space="preserve">Données USA</t>
  </si>
  <si>
    <t xml:space="preserve">4:34:00</t>
  </si>
  <si>
    <t xml:space="preserve">+41</t>
  </si>
  <si>
    <t xml:space="preserve">Amélioration récente</t>
  </si>
  <si>
    <t xml:space="preserve">PAYS LES PLUS RAPIDES — CLASSEMENT PAR DISTANCE</t>
  </si>
  <si>
    <t xml:space="preserve">Rang</t>
  </si>
  <si>
    <t xml:space="preserve">Pays</t>
  </si>
  <si>
    <t xml:space="preserve">Pays (2)</t>
  </si>
  <si>
    <t xml:space="preserve">Temps moyen (2)</t>
  </si>
  <si>
    <t xml:space="preserve">SEUILS POUR ÊTRE AU-DESSUS DE LA MOYENNE</t>
  </si>
  <si>
    <t xml:space="preserve">Hommes (seuil)</t>
  </si>
  <si>
    <t xml:space="preserve">Femmes (seuil)</t>
  </si>
  <si>
    <t xml:space="preserve">Médiane globale</t>
  </si>
  <si>
    <t xml:space="preserve">&lt; 31:28</t>
  </si>
  <si>
    <t xml:space="preserve">&lt; 37:28</t>
  </si>
  <si>
    <t xml:space="preserve">~36:00</t>
  </si>
  <si>
    <t xml:space="preserve">~60% des finishers sont des femmes</t>
  </si>
  <si>
    <t xml:space="preserve">&lt; 57:15</t>
  </si>
  <si>
    <t xml:space="preserve">&lt; 1:06:54</t>
  </si>
  <si>
    <t xml:space="preserve">~62:00</t>
  </si>
  <si>
    <t xml:space="preserve">Distance d'équilibre</t>
  </si>
  <si>
    <t xml:space="preserve">&lt; 1:59:48</t>
  </si>
  <si>
    <t xml:space="preserve">&lt; 2:14:59</t>
  </si>
  <si>
    <t xml:space="preserve">~2:10</t>
  </si>
  <si>
    <t xml:space="preserve">Plus populaire en Europe</t>
  </si>
  <si>
    <t xml:space="preserve">&lt; 4:06</t>
  </si>
  <si>
    <t xml:space="preserve">&lt; 4:42</t>
  </si>
  <si>
    <t xml:space="preserve">~4:30</t>
  </si>
  <si>
    <t xml:space="preserve">Seulement 9.7% des finishers</t>
  </si>
  <si>
    <t xml:space="preserve">RÉPARTITION PAR GENRE — ÉVOLUTION MONDIALE</t>
  </si>
  <si>
    <t xml:space="preserve">% Hommes</t>
  </si>
  <si>
    <t xml:space="preserve">Événement clé</t>
  </si>
  <si>
    <t xml:space="preserve">Point de départ</t>
  </si>
  <si>
    <t xml:space="preserve">Croissance régulière</t>
  </si>
  <si>
    <t xml:space="preserve">Accélération</t>
  </si>
  <si>
    <t xml:space="preserve">Seuil du tiers atteint</t>
  </si>
  <si>
    <t xml:space="preserve">Quasi-parité en vue</t>
  </si>
  <si>
    <t xml:space="preserve">Participation féminine massive</t>
  </si>
  <si>
    <t xml:space="preserve">Presque la parité</t>
  </si>
  <si>
    <t xml:space="preserve">Quasi-parité</t>
  </si>
  <si>
    <t xml:space="preserve">Parité atteinte</t>
  </si>
  <si>
    <t xml:space="preserve">1ère fois: femmes &gt; hommes</t>
  </si>
  <si>
    <t xml:space="preserve">% FEMMES PAR DISTANCE (2018)</t>
  </si>
  <si>
    <t xml:space="preserve">PAYS AVEC LE PLUS HAUT % DE FEMMES</t>
  </si>
  <si>
    <t xml:space="preserve">Islande</t>
  </si>
  <si>
    <t xml:space="preserve">Pays le plus égalitaire</t>
  </si>
  <si>
    <t xml:space="preserve">États-Unis</t>
  </si>
  <si>
    <t xml:space="preserve">Très grande communauté féminine</t>
  </si>
  <si>
    <t xml:space="preserve">Canada</t>
  </si>
  <si>
    <t xml:space="preserve">Forte culture running féminin</t>
  </si>
  <si>
    <t xml:space="preserve">Australie</t>
  </si>
  <si>
    <t xml:space="preserve">Pays nordiques en tête</t>
  </si>
  <si>
    <t xml:space="preserve">Pays Nordiques</t>
  </si>
  <si>
    <t xml:space="preserve">Corrélation avec l'égalité des sexes</t>
  </si>
  <si>
    <t xml:space="preserve">DÉMOGRAPHIE — ANALYSE PAR ÂGE</t>
  </si>
  <si>
    <t xml:space="preserve">ÂGE MOYEN DES COUREURS (ÉVOLUTION MONDIALE)</t>
  </si>
  <si>
    <t xml:space="preserve">Âge moyen (global)</t>
  </si>
  <si>
    <t xml:space="preserve">Variation</t>
  </si>
  <si>
    <t xml:space="preserve">Contexte</t>
  </si>
  <si>
    <t xml:space="preserve">Référence</t>
  </si>
  <si>
    <t xml:space="preserve">+1.3</t>
  </si>
  <si>
    <t xml:space="preserve">Vieillissement progressif</t>
  </si>
  <si>
    <t xml:space="preserve">+1.8</t>
  </si>
  <si>
    <t xml:space="preserve">Boom du running loisir</t>
  </si>
  <si>
    <t xml:space="preserve">+2.6</t>
  </si>
  <si>
    <t xml:space="preserve">Génération baby-boom</t>
  </si>
  <si>
    <t xml:space="preserve">+3.3</t>
  </si>
  <si>
    <t xml:space="preserve">Coureurs plus âgés</t>
  </si>
  <si>
    <t xml:space="preserve">+3.8</t>
  </si>
  <si>
    <t xml:space="preserve">Tendance de fond</t>
  </si>
  <si>
    <t xml:space="preserve">+4.1</t>
  </si>
  <si>
    <t xml:space="preserve">Record historique</t>
  </si>
  <si>
    <t xml:space="preserve">Évolution absolue</t>
  </si>
  <si>
    <t xml:space="preserve">Évolution %</t>
  </si>
  <si>
    <t xml:space="preserve">DISTRIBUTION PAR GROUPE D'ÂGE — MARATHON (MONDIAL)</t>
  </si>
  <si>
    <t xml:space="preserve">Tranche d'âge</t>
  </si>
  <si>
    <t xml:space="preserve">% Total</t>
  </si>
  <si>
    <t xml:space="preserve">% Femmes (pic)</t>
  </si>
  <si>
    <t xml:space="preserve">&lt; 20 ans</t>
  </si>
  <si>
    <t xml:space="preserve">Faible participation</t>
  </si>
  <si>
    <t xml:space="preserve">20-29 ans</t>
  </si>
  <si>
    <t xml:space="preserve">Élevé</t>
  </si>
  <si>
    <t xml:space="preserve">Pic participation féminine ≈ 30 ans</t>
  </si>
  <si>
    <t xml:space="preserve">30-39 ans</t>
  </si>
  <si>
    <t xml:space="preserve">Très élevé</t>
  </si>
  <si>
    <t xml:space="preserve">Groupe le plus représenté</t>
  </si>
  <si>
    <t xml:space="preserve">40-49 ans</t>
  </si>
  <si>
    <t xml:space="preserve">Moyen</t>
  </si>
  <si>
    <t xml:space="preserve">Pic participation masculine ≈ 40 ans</t>
  </si>
  <si>
    <t xml:space="preserve">50-59 ans</t>
  </si>
  <si>
    <t xml:space="preserve">Faible</t>
  </si>
  <si>
    <t xml:space="preserve">Tranche en croissance</t>
  </si>
  <si>
    <t xml:space="preserve">60+ ans</t>
  </si>
  <si>
    <t xml:space="preserve">Coureurs les plus âgés</t>
  </si>
  <si>
    <t xml:space="preserve">ÂGE DE PIC DE PARTICIPATION PAR GENRE</t>
  </si>
  <si>
    <t xml:space="preserve">Genre</t>
  </si>
  <si>
    <t xml:space="preserve">Âge de pic</t>
  </si>
  <si>
    <t xml:space="preserve">Profil de distribution</t>
  </si>
  <si>
    <t xml:space="preserve">Asymétrique gauche — déclin rapide après 30 ans</t>
  </si>
  <si>
    <t xml:space="preserve">Distribution quasi-normale — pic à 40 ans</t>
  </si>
  <si>
    <t xml:space="preserve">Médiane femmes</t>
  </si>
  <si>
    <t xml:space="preserve">36 ans</t>
  </si>
  <si>
    <t xml:space="preserve">Âge médian toutes distances confondues</t>
  </si>
  <si>
    <t xml:space="preserve">ANALYSE PAR PAYS — VITESSE ET POPULARITÉ</t>
  </si>
  <si>
    <t xml:space="preserve">Source : RunRepeat — The State of Running 2019 (données sur 209 pays)</t>
  </si>
  <si>
    <t xml:space="preserve">CLASSEMENT PAYS LES PLUS RAPIDES PAR DISTANCE</t>
  </si>
  <si>
    <t xml:space="preserve">🥇 1er</t>
  </si>
  <si>
    <t xml:space="preserve">🥈 2e</t>
  </si>
  <si>
    <t xml:space="preserve">🥉 3e</t>
  </si>
  <si>
    <t xml:space="preserve">DISTANCE PRÉFÉRÉE PAR PAYS / RÉGION</t>
  </si>
  <si>
    <t xml:space="preserve">Pays / Région</t>
  </si>
  <si>
    <t xml:space="preserve">% Féminin</t>
  </si>
  <si>
    <t xml:space="preserve">Spécificité</t>
  </si>
  <si>
    <t xml:space="preserve">Distance la + populaire</t>
  </si>
  <si>
    <t xml:space="preserve">~57%</t>
  </si>
  <si>
    <t xml:space="preserve">96% des résultats US couverts</t>
  </si>
  <si>
    <t xml:space="preserve">Très populaire</t>
  </si>
  <si>
    <t xml:space="preserve">Culture running croissante</t>
  </si>
  <si>
    <t xml:space="preserve">Marché local dominant</t>
  </si>
  <si>
    <t xml:space="preserve">France</t>
  </si>
  <si>
    <t xml:space="preserve">1ère place mondiale</t>
  </si>
  <si>
    <t xml:space="preserve">~45%</t>
  </si>
  <si>
    <t xml:space="preserve">Grande tradition de semi</t>
  </si>
  <si>
    <t xml:space="preserve">République tchèque</t>
  </si>
  <si>
    <t xml:space="preserve">Allemagne</t>
  </si>
  <si>
    <t xml:space="preserve">Top 3 mondial</t>
  </si>
  <si>
    <t xml:space="preserve">~40%</t>
  </si>
  <si>
    <t xml:space="preserve">Marché marathon mature</t>
  </si>
  <si>
    <t xml:space="preserve">Marathon le + rapide</t>
  </si>
  <si>
    <t xml:space="preserve">~38%</t>
  </si>
  <si>
    <t xml:space="preserve">Vitesse: 1ère après 2002</t>
  </si>
  <si>
    <t xml:space="preserve">~41%</t>
  </si>
  <si>
    <t xml:space="preserve">Norvège</t>
  </si>
  <si>
    <t xml:space="preserve">Distance nationale</t>
  </si>
  <si>
    <t xml:space="preserve">Culture nordique</t>
  </si>
  <si>
    <t xml:space="preserve">Danemark</t>
  </si>
  <si>
    <t xml:space="preserve">Chine</t>
  </si>
  <si>
    <t xml:space="preserve">Croissance explosive</t>
  </si>
  <si>
    <t xml:space="preserve">1581 courses en 2018 vs 22 en 2011</t>
  </si>
  <si>
    <t xml:space="preserve">Toutes</t>
  </si>
  <si>
    <t xml:space="preserve">% femmes le + élevé</t>
  </si>
  <si>
    <t xml:space="preserve">~60%+</t>
  </si>
  <si>
    <t xml:space="preserve">Égalité des sexes élevée</t>
  </si>
  <si>
    <t xml:space="preserve">Forte partic. féminine</t>
  </si>
  <si>
    <t xml:space="preserve">~55%</t>
  </si>
  <si>
    <t xml:space="preserve">Proche des USA</t>
  </si>
  <si>
    <t xml:space="preserve">COUVERTURE DES DONNÉES</t>
  </si>
  <si>
    <t xml:space="preserve">Région</t>
  </si>
  <si>
    <t xml:space="preserve">% données couvertes</t>
  </si>
  <si>
    <t xml:space="preserve">Nb pays</t>
  </si>
  <si>
    <t xml:space="preserve">96%</t>
  </si>
  <si>
    <t xml:space="preserve">Couverture quasi-totale</t>
  </si>
  <si>
    <t xml:space="preserve">UE + Canada + Australie</t>
  </si>
  <si>
    <t xml:space="preserve">91%</t>
  </si>
  <si>
    <t xml:space="preserve">Très bonne représentation</t>
  </si>
  <si>
    <t xml:space="preserve">Variable</t>
  </si>
  <si>
    <t xml:space="preserve">Données partielles, en hausse</t>
  </si>
  <si>
    <t xml:space="preserve">Afrique &amp; Amériques</t>
  </si>
  <si>
    <t xml:space="preserve">Partielle</t>
  </si>
  <si>
    <t xml:space="preserve">Données limitées hors Afrique du Sud</t>
  </si>
  <si>
    <t xml:space="preserve">Total mondial</t>
  </si>
  <si>
    <t xml:space="preserve">209 pays représentés</t>
  </si>
  <si>
    <t xml:space="preserve">TOUTES LES STATISTIQUES — DONNÉES SOURCES CONSOLIDÉES</t>
  </si>
  <si>
    <t xml:space="preserve">Source : RunRepeat / IAAF — The State of Running 2019 · runrepeat.com/state-of-running</t>
  </si>
  <si>
    <t xml:space="preserve">Catégorie</t>
  </si>
  <si>
    <t xml:space="preserve">Indicateur</t>
  </si>
  <si>
    <t xml:space="preserve">Valeur</t>
  </si>
  <si>
    <t xml:space="preserve">Unité</t>
  </si>
  <si>
    <t xml:space="preserve">Période</t>
  </si>
  <si>
    <t xml:space="preserve">Source</t>
  </si>
  <si>
    <t xml:space="preserve">Étude</t>
  </si>
  <si>
    <t xml:space="preserve">107 900 000</t>
  </si>
  <si>
    <t xml:space="preserve">résultats</t>
  </si>
  <si>
    <t xml:space="preserve">1986-2018</t>
  </si>
  <si>
    <t xml:space="preserve">RunRepeat/IAAF</t>
  </si>
  <si>
    <t xml:space="preserve">Plus grande étude jamais réalisée</t>
  </si>
  <si>
    <t xml:space="preserve">événements</t>
  </si>
  <si>
    <t xml:space="preserve">pays</t>
  </si>
  <si>
    <t xml:space="preserve">2018</t>
  </si>
  <si>
    <t xml:space="preserve">Participation</t>
  </si>
  <si>
    <t xml:space="preserve">2 900 000</t>
  </si>
  <si>
    <t xml:space="preserve">personnes</t>
  </si>
  <si>
    <t xml:space="preserve">RunRepeat</t>
  </si>
  <si>
    <t xml:space="preserve">Distance la plus populaire</t>
  </si>
  <si>
    <t xml:space="preserve">Finishers Semi-marathon (2018)</t>
  </si>
  <si>
    <t xml:space="preserve">2 100 000</t>
  </si>
  <si>
    <t xml:space="preserve">Finishers 10K (2018)</t>
  </si>
  <si>
    <t xml:space="preserve">1 800 000</t>
  </si>
  <si>
    <t xml:space="preserve">Finishers Marathon (2018)</t>
  </si>
  <si>
    <t xml:space="preserve">Finishers Marathon (2024)</t>
  </si>
  <si>
    <t xml:space="preserve">2024</t>
  </si>
  <si>
    <t xml:space="preserve">RunRepeat US</t>
  </si>
  <si>
    <t xml:space="preserve">Données USA principalement</t>
  </si>
  <si>
    <t xml:space="preserve">Croissance Marathon 2008-2018</t>
  </si>
  <si>
    <t xml:space="preserve">%</t>
  </si>
  <si>
    <t xml:space="preserve">2008-2018</t>
  </si>
  <si>
    <t xml:space="preserve">Croissance femmes marathon 2008-2018</t>
  </si>
  <si>
    <t xml:space="preserve">Croissance hommes marathon 2008-2018</t>
  </si>
  <si>
    <t xml:space="preserve">Part Marathon du total (2000)</t>
  </si>
  <si>
    <t xml:space="preserve">25%+</t>
  </si>
  <si>
    <t xml:space="preserve">2000</t>
  </si>
  <si>
    <t xml:space="preserve">Part Marathon du total (2018)</t>
  </si>
  <si>
    <t xml:space="preserve">12%</t>
  </si>
  <si>
    <t xml:space="preserve">Recul significatif</t>
  </si>
  <si>
    <t xml:space="preserve">Part Semi-marathon du total</t>
  </si>
  <si>
    <t xml:space="preserve">17% → 30%</t>
  </si>
  <si>
    <t xml:space="preserve">Forte croissance</t>
  </si>
  <si>
    <t xml:space="preserve">Marathon moyen mondial (1986)</t>
  </si>
  <si>
    <t xml:space="preserve">hh:mm:ss</t>
  </si>
  <si>
    <t xml:space="preserve">1986</t>
  </si>
  <si>
    <t xml:space="preserve">Marathon moyen mondial (2001)</t>
  </si>
  <si>
    <t xml:space="preserve">2001</t>
  </si>
  <si>
    <t xml:space="preserve">Pic de ralentissement (+36 min)</t>
  </si>
  <si>
    <t xml:space="preserve">Marathon moyen mondial (2018)</t>
  </si>
  <si>
    <t xml:space="preserve">+40 min vs 1986</t>
  </si>
  <si>
    <t xml:space="preserve">Marathon moyen mondial (2024)</t>
  </si>
  <si>
    <t xml:space="preserve">Amélioration depuis 2019</t>
  </si>
  <si>
    <t xml:space="preserve">Ralentissement 1986-2001</t>
  </si>
  <si>
    <t xml:space="preserve">+36 min</t>
  </si>
  <si>
    <t xml:space="preserve">minutes</t>
  </si>
  <si>
    <t xml:space="preserve">1986-2001</t>
  </si>
  <si>
    <t xml:space="preserve">Phase principale du ralentissement</t>
  </si>
  <si>
    <t xml:space="preserve">Ralentissement 2001-2018</t>
  </si>
  <si>
    <t xml:space="preserve">+4 min</t>
  </si>
  <si>
    <t xml:space="preserve">2001-2018</t>
  </si>
  <si>
    <t xml:space="preserve">5K médiane globale</t>
  </si>
  <si>
    <t xml:space="preserve">mm:ss</t>
  </si>
  <si>
    <t xml:space="preserve">10K médiane globale</t>
  </si>
  <si>
    <t xml:space="preserve">Semi-marathon médiane globale</t>
  </si>
  <si>
    <t xml:space="preserve">~2:10:00</t>
  </si>
  <si>
    <t xml:space="preserve">5K seuil supérieur à la moyenne H</t>
  </si>
  <si>
    <t xml:space="preserve">5K seuil supérieur à la moyenne F</t>
  </si>
  <si>
    <t xml:space="preserve">10K seuil supérieur à la moyenne H</t>
  </si>
  <si>
    <t xml:space="preserve">10K seuil supérieur à la moyenne F</t>
  </si>
  <si>
    <t xml:space="preserve">Semi-marathon moyen H</t>
  </si>
  <si>
    <t xml:space="preserve">Semi-marathon moyen F</t>
  </si>
  <si>
    <t xml:space="preserve">% Femmes (1986)</t>
  </si>
  <si>
    <t xml:space="preserve">18%</t>
  </si>
  <si>
    <t xml:space="preserve">1ère fois majorité</t>
  </si>
  <si>
    <t xml:space="preserve">% Femmes 5K</t>
  </si>
  <si>
    <t xml:space="preserve">~60%</t>
  </si>
  <si>
    <t xml:space="preserve">Distance à dominance féminine</t>
  </si>
  <si>
    <t xml:space="preserve">% Femmes Marathon (2017 peak)</t>
  </si>
  <si>
    <t xml:space="preserve">47%</t>
  </si>
  <si>
    <t xml:space="preserve">2017</t>
  </si>
  <si>
    <t xml:space="preserve">% Femmes Marathon (2024)</t>
  </si>
  <si>
    <t xml:space="preserve">41%</t>
  </si>
  <si>
    <t xml:space="preserve">En légère baisse</t>
  </si>
  <si>
    <t xml:space="preserve">Âge</t>
  </si>
  <si>
    <t xml:space="preserve">Âge moyen global (1986)</t>
  </si>
  <si>
    <t xml:space="preserve">35.2</t>
  </si>
  <si>
    <t xml:space="preserve">ans</t>
  </si>
  <si>
    <t xml:space="preserve">Âge moyen global (2018)</t>
  </si>
  <si>
    <t xml:space="preserve">39.3</t>
  </si>
  <si>
    <t xml:space="preserve">+4.1 ans en 32 ans</t>
  </si>
  <si>
    <t xml:space="preserve">Âge moyen 5K (passé/2018)</t>
  </si>
  <si>
    <t xml:space="preserve">32 → 40</t>
  </si>
  <si>
    <t xml:space="preserve">Âge moyen 10K (passé/2018)</t>
  </si>
  <si>
    <t xml:space="preserve">33 → 39</t>
  </si>
  <si>
    <t xml:space="preserve">+18%</t>
  </si>
  <si>
    <t xml:space="preserve">Âge moyen semi (passé/2018)</t>
  </si>
  <si>
    <t xml:space="preserve">37.5 → 39</t>
  </si>
  <si>
    <t xml:space="preserve">+4%</t>
  </si>
  <si>
    <t xml:space="preserve">Âge moyen marathon (passé/2018)</t>
  </si>
  <si>
    <t xml:space="preserve">38 → 40</t>
  </si>
  <si>
    <t xml:space="preserve">+5%</t>
  </si>
  <si>
    <t xml:space="preserve">Groupe d'âge marathon 30-39 ans</t>
  </si>
  <si>
    <t xml:space="preserve">31.08%</t>
  </si>
  <si>
    <t xml:space="preserve">Groupe le + représenté</t>
  </si>
  <si>
    <t xml:space="preserve">Groupe d'âge marathon 40-49 ans</t>
  </si>
  <si>
    <t xml:space="preserve">30.84%</t>
  </si>
  <si>
    <t xml:space="preserve">Quasi ex-aequo</t>
  </si>
  <si>
    <t xml:space="preserve">Âge pic femmes</t>
  </si>
  <si>
    <t xml:space="preserve">30 ans</t>
  </si>
  <si>
    <t xml:space="preserve">Distribution asymétrique gauche</t>
  </si>
  <si>
    <t xml:space="preserve">Âge pic hommes</t>
  </si>
  <si>
    <t xml:space="preserve">40 ans</t>
  </si>
  <si>
    <t xml:space="preserve">Distribution quasi-normale</t>
  </si>
  <si>
    <t xml:space="preserve">Âge médian femmes</t>
  </si>
  <si>
    <t xml:space="preserve">Groupe &lt; 25 ans marathon (2016)</t>
  </si>
  <si>
    <t xml:space="preserve">9.2%</t>
  </si>
  <si>
    <t xml:space="preserve">2016</t>
  </si>
  <si>
    <t xml:space="preserve">Groupe &lt; 25 ans marathon (2024)</t>
  </si>
  <si>
    <t xml:space="preserve">12.1%</t>
  </si>
  <si>
    <t xml:space="preserve">Rajeunissement</t>
  </si>
  <si>
    <t xml:space="preserve">3:50:00 en moyenne</t>
  </si>
  <si>
    <t xml:space="preserve">Semi-marathon le + rapide</t>
  </si>
  <si>
    <t xml:space="preserve">1:45:11 en moyenne</t>
  </si>
  <si>
    <t xml:space="preserve">10K le + rapide</t>
  </si>
  <si>
    <t xml:space="preserve">5K le + rapide</t>
  </si>
  <si>
    <t xml:space="preserve">Russie semi-marathon</t>
  </si>
  <si>
    <t xml:space="preserve">1er mondial</t>
  </si>
  <si>
    <t xml:space="preserve">Belgique semi-marathon</t>
  </si>
  <si>
    <t xml:space="preserve">2e mondial</t>
  </si>
  <si>
    <t xml:space="preserve">Espagne semi-marathon</t>
  </si>
  <si>
    <t xml:space="preserve">3e mondial</t>
  </si>
  <si>
    <t xml:space="preserve">Suisse marathon</t>
  </si>
  <si>
    <t xml:space="preserve">Pays-Bas marathon</t>
  </si>
  <si>
    <t xml:space="preserve">Espagne marathon</t>
  </si>
  <si>
    <t xml:space="preserve">3e, 1er post-2002</t>
  </si>
  <si>
    <t xml:space="preserve">Courses en Chine (2011)</t>
  </si>
  <si>
    <t xml:space="preserve">22</t>
  </si>
  <si>
    <t xml:space="preserve">courses</t>
  </si>
  <si>
    <t xml:space="preserve">2011</t>
  </si>
  <si>
    <t xml:space="preserve">Courses en Chine (2018)</t>
  </si>
  <si>
    <t xml:space="preserve">1 581</t>
  </si>
  <si>
    <t xml:space="preserve">+7086%</t>
  </si>
  <si>
    <t xml:space="preserve">% femmes le plus élevé</t>
  </si>
  <si>
    <t xml:space="preserve">Corrélation égalité des sexes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</si>
</sst>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\%"/>
    <numFmt numFmtId="167" formatCode="#,##0"/>
    <numFmt numFmtId="168" formatCode="0.00\%"/>
    <numFmt numFmtId="169" formatCode="\+0.0;\-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C9529A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C9529A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ED7D31"/>
        <bgColor rgb="FFCD7F32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FD700"/>
        <bgColor rgb="FFFFC000"/>
      </patternFill>
    </fill>
    <fill>
      <patternFill patternType="solid">
        <fgColor rgb="FFC0C0C0"/>
        <bgColor rgb="FFBFBFBF"/>
      </patternFill>
    </fill>
    <fill>
      <patternFill patternType="solid">
        <fgColor rgb="FFCD7F32"/>
        <bgColor rgb="FFED7D31"/>
      </patternFill>
    </fill>
    <fill>
      <patternFill patternType="solid">
        <fgColor rgb="FFBDD7EE"/>
        <bgColor rgb="FFD9D9D9"/>
      </patternFill>
    </fill>
    <fill>
      <patternFill patternType="solid">
        <fgColor rgb="FFC9529A"/>
        <bgColor rgb="FF993366"/>
      </patternFill>
    </fill>
    <fill>
      <patternFill patternType="solid">
        <fgColor rgb="FF70AD47"/>
        <bgColor rgb="FF878787"/>
      </patternFill>
    </fill>
    <fill>
      <patternFill patternType="solid">
        <fgColor rgb="FFFFC000"/>
        <bgColor rgb="FFFFD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9529A"/>
      <rgbColor rgb="FFF9F9F9"/>
      <rgbColor rgb="FFF2F2F2"/>
      <rgbColor rgb="FF660066"/>
      <rgbColor rgb="FFCD7F32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FBFBF"/>
      <rgbColor rgb="FFFF99CC"/>
      <rgbColor rgb="FFCC99FF"/>
      <rgbColor rgb="FFFFCC99"/>
      <rgbColor rgb="FF2E75B6"/>
      <rgbColor rgb="FF33CCCC"/>
      <rgbColor rgb="FF99CC00"/>
      <rgbColor rgb="FFFFD700"/>
      <rgbColor rgb="FFFFC000"/>
      <rgbColor rgb="FFED7D31"/>
      <rgbColor rgb="FF595959"/>
      <rgbColor rgb="FF70AD4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Dashboard'!B8</c:f>
              <c:strCache>
                <c:ptCount val="1"/>
                <c:pt idx="0">
                  <c:v>Finishers (millions)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Dashboard'!$A$9:$A$12</c:f>
              <c:strCache>
                <c:ptCount val="4"/>
                <c:pt idx="0">
                  <c:v>5K</c:v>
                </c:pt>
                <c:pt idx="1">
                  <c:v>10K</c:v>
                </c:pt>
                <c:pt idx="2">
                  <c:v>Semi-marathon</c:v>
                </c:pt>
                <c:pt idx="3">
                  <c:v>Marathon</c:v>
                </c:pt>
              </c:strCache>
            </c:strRef>
          </c:cat>
          <c:val>
            <c:numRef>
              <c:f>'📊 Dashboard'!$B$9:$B$12</c:f>
              <c:numCache>
                <c:formatCode>0.0</c:formatCode>
                <c:ptCount val="4"/>
                <c:pt idx="0">
                  <c:v>2.9</c:v>
                </c:pt>
                <c:pt idx="1">
                  <c:v>1.8</c:v>
                </c:pt>
                <c:pt idx="2">
                  <c:v>2.1</c:v>
                </c:pt>
                <c:pt idx="3">
                  <c:v>1.1</c:v>
                </c:pt>
              </c:numCache>
            </c:numRef>
          </c:val>
        </c:ser>
        <c:gapWidth val="150"/>
        <c:overlap val="0"/>
        <c:axId val="60599612"/>
        <c:axId val="97342131"/>
      </c:barChart>
      <c:catAx>
        <c:axId val="60599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342131"/>
        <c:crosses val="autoZero"/>
        <c:auto val="1"/>
        <c:lblAlgn val="ctr"/>
        <c:lblOffset val="100"/>
        <c:noMultiLvlLbl val="0"/>
      </c:catAx>
      <c:valAx>
        <c:axId val="97342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5996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'📊 Dashboard'!K8</c:f>
              <c:strCache>
                <c:ptCount val="1"/>
                <c:pt idx="0">
                  <c:v>% Femmes</c:v>
                </c:pt>
              </c:strCache>
            </c:strRef>
          </c:tx>
          <c:spPr>
            <a:solidFill>
              <a:srgbClr val="c9529a"/>
            </a:solidFill>
            <a:ln w="20160">
              <a:solidFill>
                <a:srgbClr val="c952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Dashboard'!$J$9:$J$18</c:f>
              <c:strCache>
                <c:ptCount val="10"/>
                <c:pt idx="0">
                  <c:v>1986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2018</c:v>
                </c:pt>
              </c:strCache>
            </c:strRef>
          </c:cat>
          <c:val>
            <c:numRef>
              <c:f>'📊 Dashboard'!$K$9:$K$18</c:f>
              <c:numCache>
                <c:formatCode>0.0\%</c:formatCode>
                <c:ptCount val="10"/>
                <c:pt idx="0">
                  <c:v>18</c:v>
                </c:pt>
                <c:pt idx="1">
                  <c:v>22</c:v>
                </c:pt>
                <c:pt idx="2">
                  <c:v>28</c:v>
                </c:pt>
                <c:pt idx="3">
                  <c:v>35</c:v>
                </c:pt>
                <c:pt idx="4">
                  <c:v>40</c:v>
                </c:pt>
                <c:pt idx="5">
                  <c:v>44</c:v>
                </c:pt>
                <c:pt idx="6">
                  <c:v>47</c:v>
                </c:pt>
                <c:pt idx="7">
                  <c:v>49</c:v>
                </c:pt>
                <c:pt idx="8">
                  <c:v>50</c:v>
                </c:pt>
                <c:pt idx="9">
                  <c:v>50.24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327326"/>
        <c:axId val="96075375"/>
      </c:lineChart>
      <c:catAx>
        <c:axId val="49327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075375"/>
        <c:crosses val="autoZero"/>
        <c:auto val="1"/>
        <c:lblAlgn val="ctr"/>
        <c:lblOffset val="100"/>
        <c:noMultiLvlLbl val="0"/>
      </c:catAx>
      <c:valAx>
        <c:axId val="960753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273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'📊 Dashboard'!K34</c:f>
              <c:strCache>
                <c:ptCount val="1"/>
                <c:pt idx="0">
                  <c:v>Part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'📊 Dashboard'!$J$35:$J$38</c:f>
              <c:strCache>
                <c:ptCount val="4"/>
                <c:pt idx="0">
                  <c:v>5K</c:v>
                </c:pt>
                <c:pt idx="1">
                  <c:v>Semi-marathon</c:v>
                </c:pt>
                <c:pt idx="2">
                  <c:v>10K</c:v>
                </c:pt>
                <c:pt idx="3">
                  <c:v>Marathon</c:v>
                </c:pt>
              </c:strCache>
            </c:strRef>
          </c:cat>
          <c:val>
            <c:numRef>
              <c:f>'📊 Dashboard'!$K$35:$K$38</c:f>
              <c:numCache>
                <c:formatCode>0.0\%</c:formatCode>
                <c:ptCount val="4"/>
                <c:pt idx="0">
                  <c:v>38.6</c:v>
                </c:pt>
                <c:pt idx="1">
                  <c:v>27.9</c:v>
                </c:pt>
                <c:pt idx="2">
                  <c:v>23.9</c:v>
                </c:pt>
                <c:pt idx="3">
                  <c:v>9.7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Finishers par distance (2018,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Participation'!B5</c:f>
              <c:strCache>
                <c:ptCount val="1"/>
                <c:pt idx="0">
                  <c:v>Finishers (millions)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Participation'!$A$6:$A$9</c:f>
              <c:strCache>
                <c:ptCount val="4"/>
                <c:pt idx="0">
                  <c:v>5K</c:v>
                </c:pt>
                <c:pt idx="1">
                  <c:v>10K</c:v>
                </c:pt>
                <c:pt idx="2">
                  <c:v>Semi-marathon</c:v>
                </c:pt>
                <c:pt idx="3">
                  <c:v>Marathon</c:v>
                </c:pt>
              </c:strCache>
            </c:strRef>
          </c:cat>
          <c:val>
            <c:numRef>
              <c:f>'📈 Participation'!$B$6:$B$9</c:f>
              <c:numCache>
                <c:formatCode>0.0</c:formatCode>
                <c:ptCount val="4"/>
                <c:pt idx="0">
                  <c:v>2.9</c:v>
                </c:pt>
                <c:pt idx="1">
                  <c:v>1.8</c:v>
                </c:pt>
                <c:pt idx="2">
                  <c:v>2.1</c:v>
                </c:pt>
                <c:pt idx="3">
                  <c:v>1.1</c:v>
                </c:pt>
              </c:numCache>
            </c:numRef>
          </c:val>
        </c:ser>
        <c:gapWidth val="150"/>
        <c:overlap val="0"/>
        <c:axId val="50235088"/>
        <c:axId val="59393838"/>
      </c:barChart>
      <c:catAx>
        <c:axId val="5023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393838"/>
        <c:crosses val="autoZero"/>
        <c:auto val="1"/>
        <c:lblAlgn val="ctr"/>
        <c:lblOffset val="100"/>
        <c:noMultiLvlLbl val="0"/>
      </c:catAx>
      <c:valAx>
        <c:axId val="59393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2350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Temps moyen par distance (Hommes vs Femmes)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'⏱ Temps Moyens'!B5</c:f>
              <c:strCache>
                <c:ptCount val="1"/>
                <c:pt idx="0">
                  <c:v>Hommes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'⏱ Temps Moyens'!$A$6:$A$9</c:f>
              <c:strCache>
                <c:ptCount val="4"/>
                <c:pt idx="0">
                  <c:v>5K</c:v>
                </c:pt>
                <c:pt idx="1">
                  <c:v>10K</c:v>
                </c:pt>
                <c:pt idx="2">
                  <c:v>Semi-marathon</c:v>
                </c:pt>
                <c:pt idx="3">
                  <c:v>Marathon</c:v>
                </c:pt>
              </c:strCache>
            </c:strRef>
          </c:cat>
          <c:val>
            <c:numRef>
              <c:f>'⏱ Temps Moyens'!$B$6:$B$9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83639189"/>
        <c:axId val="16547769"/>
      </c:barChart>
      <c:catAx>
        <c:axId val="83639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547769"/>
        <c:crosses val="autoZero"/>
        <c:auto val="1"/>
        <c:lblAlgn val="ctr"/>
        <c:lblOffset val="100"/>
        <c:noMultiLvlLbl val="0"/>
      </c:catAx>
      <c:valAx>
        <c:axId val="16547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6391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Évolution % Femmes vs Hommes (1986–2018)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'👥 Genre'!B5</c:f>
              <c:strCache>
                <c:ptCount val="1"/>
                <c:pt idx="0">
                  <c:v>% Femmes</c:v>
                </c:pt>
              </c:strCache>
            </c:strRef>
          </c:tx>
          <c:spPr>
            <a:solidFill>
              <a:srgbClr val="c9529a"/>
            </a:solidFill>
            <a:ln w="20160">
              <a:solidFill>
                <a:srgbClr val="c952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Genre'!$A$6:$A$15</c:f>
              <c:strCache>
                <c:ptCount val="10"/>
                <c:pt idx="0">
                  <c:v>1986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2018</c:v>
                </c:pt>
              </c:strCache>
            </c:strRef>
          </c:cat>
          <c:val>
            <c:numRef>
              <c:f>'👥 Genre'!$B$6:$B$15</c:f>
              <c:numCache>
                <c:formatCode>0.00\%</c:formatCode>
                <c:ptCount val="10"/>
                <c:pt idx="0">
                  <c:v>18</c:v>
                </c:pt>
                <c:pt idx="1">
                  <c:v>22</c:v>
                </c:pt>
                <c:pt idx="2">
                  <c:v>28</c:v>
                </c:pt>
                <c:pt idx="3">
                  <c:v>35</c:v>
                </c:pt>
                <c:pt idx="4">
                  <c:v>40</c:v>
                </c:pt>
                <c:pt idx="5">
                  <c:v>44</c:v>
                </c:pt>
                <c:pt idx="6">
                  <c:v>47</c:v>
                </c:pt>
                <c:pt idx="7">
                  <c:v>49</c:v>
                </c:pt>
                <c:pt idx="8">
                  <c:v>50</c:v>
                </c:pt>
                <c:pt idx="9">
                  <c:v>50.24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'👥 Genre'!C5</c:f>
              <c:strCache>
                <c:ptCount val="1"/>
                <c:pt idx="0">
                  <c:v>% Hommes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Genre'!$A$6:$A$15</c:f>
              <c:strCache>
                <c:ptCount val="10"/>
                <c:pt idx="0">
                  <c:v>1986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2018</c:v>
                </c:pt>
              </c:strCache>
            </c:strRef>
          </c:cat>
          <c:val>
            <c:numRef>
              <c:f>'👥 Genre'!$C$6:$C$15</c:f>
              <c:numCache>
                <c:formatCode>0.00\%</c:formatCode>
                <c:ptCount val="10"/>
                <c:pt idx="0">
                  <c:v>82</c:v>
                </c:pt>
                <c:pt idx="1">
                  <c:v>78</c:v>
                </c:pt>
                <c:pt idx="2">
                  <c:v>72</c:v>
                </c:pt>
                <c:pt idx="3">
                  <c:v>65</c:v>
                </c:pt>
                <c:pt idx="4">
                  <c:v>60</c:v>
                </c:pt>
                <c:pt idx="5">
                  <c:v>56</c:v>
                </c:pt>
                <c:pt idx="6">
                  <c:v>53</c:v>
                </c:pt>
                <c:pt idx="7">
                  <c:v>51</c:v>
                </c:pt>
                <c:pt idx="8">
                  <c:v>50</c:v>
                </c:pt>
                <c:pt idx="9">
                  <c:v>49.76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378201"/>
        <c:axId val="79944927"/>
      </c:lineChart>
      <c:catAx>
        <c:axId val="61378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44927"/>
        <c:crosses val="autoZero"/>
        <c:auto val="1"/>
        <c:lblAlgn val="ctr"/>
        <c:lblOffset val="100"/>
        <c:noMultiLvlLbl val="0"/>
      </c:catAx>
      <c:valAx>
        <c:axId val="79944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3782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Distribution des marathoniens par tranche d'âge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'🎂 Âge'!B22</c:f>
              <c:strCache>
                <c:ptCount val="1"/>
                <c:pt idx="0">
                  <c:v>% 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bdd7e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bdd7e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'🎂 Âge'!$A$23:$A$28</c:f>
              <c:strCache>
                <c:ptCount val="6"/>
                <c:pt idx="0">
                  <c:v>&lt; 20 ans</c:v>
                </c:pt>
                <c:pt idx="1">
                  <c:v>20-29 ans</c:v>
                </c:pt>
                <c:pt idx="2">
                  <c:v>30-39 ans</c:v>
                </c:pt>
                <c:pt idx="3">
                  <c:v>40-49 ans</c:v>
                </c:pt>
                <c:pt idx="4">
                  <c:v>50-59 ans</c:v>
                </c:pt>
                <c:pt idx="5">
                  <c:v>60+ ans</c:v>
                </c:pt>
              </c:strCache>
            </c:strRef>
          </c:cat>
          <c:val>
            <c:numRef>
              <c:f>'🎂 Âge'!$B$23:$B$28</c:f>
              <c:numCache>
                <c:formatCode>0.00\%</c:formatCode>
                <c:ptCount val="6"/>
                <c:pt idx="0">
                  <c:v>2</c:v>
                </c:pt>
                <c:pt idx="1">
                  <c:v>18</c:v>
                </c:pt>
                <c:pt idx="2">
                  <c:v>31.08</c:v>
                </c:pt>
                <c:pt idx="3">
                  <c:v>30.84</c:v>
                </c:pt>
                <c:pt idx="4">
                  <c:v>14</c:v>
                </c:pt>
                <c:pt idx="5">
                  <c:v>4.08</c:v>
                </c:pt>
              </c:numCache>
            </c:numRef>
          </c:val>
        </c:ser>
        <c:gapWidth val="150"/>
        <c:overlap val="0"/>
        <c:axId val="63616130"/>
        <c:axId val="54613396"/>
      </c:barChart>
      <c:catAx>
        <c:axId val="63616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613396"/>
        <c:crosses val="autoZero"/>
        <c:auto val="1"/>
        <c:lblAlgn val="ctr"/>
        <c:lblOffset val="100"/>
        <c:noMultiLvlLbl val="0"/>
      </c:catAx>
      <c:valAx>
        <c:axId val="54613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6161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7</xdr:row>
      <xdr:rowOff>0</xdr:rowOff>
    </xdr:from>
    <xdr:to>
      <xdr:col>5</xdr:col>
      <xdr:colOff>639360</xdr:colOff>
      <xdr:row>22</xdr:row>
      <xdr:rowOff>162720</xdr:rowOff>
    </xdr:to>
    <xdr:graphicFrame>
      <xdr:nvGraphicFramePr>
        <xdr:cNvPr id="0" name="Chart 1"/>
        <xdr:cNvGraphicFramePr/>
      </xdr:nvGraphicFramePr>
      <xdr:xfrm>
        <a:off x="1973520" y="206676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0</xdr:rowOff>
    </xdr:from>
    <xdr:to>
      <xdr:col>14</xdr:col>
      <xdr:colOff>639360</xdr:colOff>
      <xdr:row>22</xdr:row>
      <xdr:rowOff>162720</xdr:rowOff>
    </xdr:to>
    <xdr:graphicFrame>
      <xdr:nvGraphicFramePr>
        <xdr:cNvPr id="1" name="Chart 2"/>
        <xdr:cNvGraphicFramePr/>
      </xdr:nvGraphicFramePr>
      <xdr:xfrm>
        <a:off x="10854720" y="206676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33</xdr:row>
      <xdr:rowOff>0</xdr:rowOff>
    </xdr:from>
    <xdr:to>
      <xdr:col>14</xdr:col>
      <xdr:colOff>639360</xdr:colOff>
      <xdr:row>47</xdr:row>
      <xdr:rowOff>182160</xdr:rowOff>
    </xdr:to>
    <xdr:graphicFrame>
      <xdr:nvGraphicFramePr>
        <xdr:cNvPr id="2" name="Chart 3"/>
        <xdr:cNvGraphicFramePr/>
      </xdr:nvGraphicFramePr>
      <xdr:xfrm>
        <a:off x="10854720" y="759132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8</xdr:col>
      <xdr:colOff>528840</xdr:colOff>
      <xdr:row>19</xdr:row>
      <xdr:rowOff>160920</xdr:rowOff>
    </xdr:to>
    <xdr:graphicFrame>
      <xdr:nvGraphicFramePr>
        <xdr:cNvPr id="3" name="Chart 1"/>
        <xdr:cNvGraphicFramePr/>
      </xdr:nvGraphicFramePr>
      <xdr:xfrm>
        <a:off x="4511160" y="819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10</xdr:col>
      <xdr:colOff>888480</xdr:colOff>
      <xdr:row>20</xdr:row>
      <xdr:rowOff>65880</xdr:rowOff>
    </xdr:to>
    <xdr:graphicFrame>
      <xdr:nvGraphicFramePr>
        <xdr:cNvPr id="4" name="Chart 1"/>
        <xdr:cNvGraphicFramePr/>
      </xdr:nvGraphicFramePr>
      <xdr:xfrm>
        <a:off x="6766560" y="819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10</xdr:col>
      <xdr:colOff>120600</xdr:colOff>
      <xdr:row>22</xdr:row>
      <xdr:rowOff>16200</xdr:rowOff>
    </xdr:to>
    <xdr:graphicFrame>
      <xdr:nvGraphicFramePr>
        <xdr:cNvPr id="5" name="Chart 1"/>
        <xdr:cNvGraphicFramePr/>
      </xdr:nvGraphicFramePr>
      <xdr:xfrm>
        <a:off x="5638680" y="8190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9</xdr:col>
      <xdr:colOff>888480</xdr:colOff>
      <xdr:row>21</xdr:row>
      <xdr:rowOff>178200</xdr:rowOff>
    </xdr:to>
    <xdr:graphicFrame>
      <xdr:nvGraphicFramePr>
        <xdr:cNvPr id="6" name="Chart 1"/>
        <xdr:cNvGraphicFramePr/>
      </xdr:nvGraphicFramePr>
      <xdr:xfrm>
        <a:off x="5638680" y="81900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7" min="1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3" t="s">
        <v>4</v>
      </c>
      <c r="F4" s="3"/>
      <c r="G4" s="4" t="s">
        <v>5</v>
      </c>
      <c r="H4" s="4"/>
      <c r="I4" s="3" t="s">
        <v>6</v>
      </c>
      <c r="J4" s="3"/>
      <c r="K4" s="4" t="s">
        <v>7</v>
      </c>
      <c r="L4" s="4"/>
      <c r="M4" s="5" t="s">
        <v>8</v>
      </c>
      <c r="N4" s="5"/>
      <c r="O4" s="3" t="s">
        <v>9</v>
      </c>
      <c r="P4" s="3"/>
    </row>
    <row r="5" customFormat="false" ht="27.75" hidden="false" customHeight="true" outlineLevel="0" collapsed="false">
      <c r="A5" s="6" t="s">
        <v>10</v>
      </c>
      <c r="B5" s="6"/>
      <c r="C5" s="7" t="s">
        <v>11</v>
      </c>
      <c r="D5" s="7"/>
      <c r="E5" s="6" t="s">
        <v>12</v>
      </c>
      <c r="F5" s="6"/>
      <c r="G5" s="7" t="s">
        <v>13</v>
      </c>
      <c r="H5" s="7"/>
      <c r="I5" s="6" t="s">
        <v>14</v>
      </c>
      <c r="J5" s="6"/>
      <c r="K5" s="7" t="s">
        <v>15</v>
      </c>
      <c r="L5" s="7"/>
      <c r="M5" s="8" t="s">
        <v>16</v>
      </c>
      <c r="N5" s="8"/>
      <c r="O5" s="6" t="s">
        <v>17</v>
      </c>
      <c r="P5" s="6"/>
    </row>
    <row r="6" customFormat="false" ht="18" hidden="false" customHeight="true" outlineLevel="0" collapsed="false"/>
    <row r="7" customFormat="false" ht="19.5" hidden="false" customHeight="true" outlineLevel="0" collapsed="false">
      <c r="A7" s="9" t="s">
        <v>18</v>
      </c>
      <c r="B7" s="9"/>
      <c r="C7" s="9"/>
      <c r="D7" s="9"/>
      <c r="E7" s="9"/>
      <c r="F7" s="9"/>
      <c r="G7" s="9"/>
      <c r="H7" s="9"/>
      <c r="J7" s="9" t="s">
        <v>19</v>
      </c>
      <c r="K7" s="9"/>
      <c r="L7" s="9"/>
      <c r="M7" s="9"/>
      <c r="N7" s="9"/>
      <c r="O7" s="9"/>
      <c r="P7" s="9"/>
      <c r="Q7" s="9"/>
    </row>
    <row r="8" customFormat="false" ht="15.75" hidden="false" customHeight="true" outlineLevel="0" collapsed="false">
      <c r="A8" s="10" t="s">
        <v>20</v>
      </c>
      <c r="B8" s="10" t="s">
        <v>21</v>
      </c>
      <c r="J8" s="10" t="s">
        <v>22</v>
      </c>
      <c r="K8" s="10" t="s">
        <v>23</v>
      </c>
    </row>
    <row r="9" customFormat="false" ht="15.75" hidden="false" customHeight="true" outlineLevel="0" collapsed="false">
      <c r="A9" s="11" t="s">
        <v>24</v>
      </c>
      <c r="B9" s="12" t="n">
        <v>2.9</v>
      </c>
      <c r="J9" s="13" t="n">
        <v>1986</v>
      </c>
      <c r="K9" s="14" t="n">
        <v>18</v>
      </c>
    </row>
    <row r="10" customFormat="false" ht="15.75" hidden="false" customHeight="true" outlineLevel="0" collapsed="false">
      <c r="A10" s="15" t="s">
        <v>25</v>
      </c>
      <c r="B10" s="16" t="n">
        <v>1.8</v>
      </c>
      <c r="J10" s="17" t="n">
        <v>1990</v>
      </c>
      <c r="K10" s="18" t="n">
        <v>22</v>
      </c>
    </row>
    <row r="11" customFormat="false" ht="15.75" hidden="false" customHeight="true" outlineLevel="0" collapsed="false">
      <c r="A11" s="11" t="s">
        <v>26</v>
      </c>
      <c r="B11" s="12" t="n">
        <v>2.1</v>
      </c>
      <c r="J11" s="13" t="n">
        <v>1995</v>
      </c>
      <c r="K11" s="14" t="n">
        <v>28</v>
      </c>
    </row>
    <row r="12" customFormat="false" ht="15.75" hidden="false" customHeight="true" outlineLevel="0" collapsed="false">
      <c r="A12" s="15" t="s">
        <v>27</v>
      </c>
      <c r="B12" s="16" t="n">
        <v>1.1</v>
      </c>
      <c r="J12" s="17" t="n">
        <v>2000</v>
      </c>
      <c r="K12" s="18" t="n">
        <v>35</v>
      </c>
    </row>
    <row r="13" customFormat="false" ht="15.75" hidden="false" customHeight="true" outlineLevel="0" collapsed="false">
      <c r="J13" s="13" t="n">
        <v>2005</v>
      </c>
      <c r="K13" s="14" t="n">
        <v>40</v>
      </c>
    </row>
    <row r="14" customFormat="false" ht="15.75" hidden="false" customHeight="true" outlineLevel="0" collapsed="false">
      <c r="J14" s="17" t="n">
        <v>2010</v>
      </c>
      <c r="K14" s="18" t="n">
        <v>44</v>
      </c>
    </row>
    <row r="15" customFormat="false" ht="15.75" hidden="false" customHeight="true" outlineLevel="0" collapsed="false">
      <c r="J15" s="13" t="n">
        <v>2013</v>
      </c>
      <c r="K15" s="14" t="n">
        <v>47</v>
      </c>
    </row>
    <row r="16" customFormat="false" ht="15.75" hidden="false" customHeight="true" outlineLevel="0" collapsed="false">
      <c r="J16" s="17" t="n">
        <v>2015</v>
      </c>
      <c r="K16" s="18" t="n">
        <v>49</v>
      </c>
    </row>
    <row r="17" customFormat="false" ht="15.75" hidden="false" customHeight="true" outlineLevel="0" collapsed="false">
      <c r="J17" s="13" t="n">
        <v>2017</v>
      </c>
      <c r="K17" s="14" t="n">
        <v>50</v>
      </c>
    </row>
    <row r="18" customFormat="false" ht="15.75" hidden="false" customHeight="true" outlineLevel="0" collapsed="false">
      <c r="J18" s="17" t="n">
        <v>2018</v>
      </c>
      <c r="K18" s="18" t="n">
        <v>50.24</v>
      </c>
    </row>
    <row r="19" customFormat="false" ht="18" hidden="false" customHeight="true" outlineLevel="0" collapsed="false"/>
    <row r="20" customFormat="false" ht="19.5" hidden="false" customHeight="true" outlineLevel="0" collapsed="false">
      <c r="A20" s="9" t="s">
        <v>28</v>
      </c>
      <c r="B20" s="9"/>
      <c r="C20" s="9"/>
      <c r="D20" s="9"/>
      <c r="E20" s="9"/>
      <c r="F20" s="9"/>
      <c r="G20" s="9"/>
      <c r="H20" s="9"/>
      <c r="J20" s="9" t="s">
        <v>29</v>
      </c>
      <c r="K20" s="9"/>
      <c r="L20" s="9"/>
      <c r="M20" s="9"/>
      <c r="N20" s="9"/>
      <c r="O20" s="9"/>
      <c r="P20" s="9"/>
      <c r="Q20" s="9"/>
    </row>
    <row r="21" customFormat="false" ht="15.75" hidden="false" customHeight="true" outlineLevel="0" collapsed="false">
      <c r="A21" s="10" t="s">
        <v>20</v>
      </c>
      <c r="B21" s="10" t="s">
        <v>30</v>
      </c>
      <c r="C21" s="10" t="s">
        <v>31</v>
      </c>
      <c r="J21" s="10" t="s">
        <v>20</v>
      </c>
      <c r="K21" s="10" t="s">
        <v>32</v>
      </c>
      <c r="L21" s="10" t="s">
        <v>33</v>
      </c>
      <c r="M21" s="10" t="s">
        <v>34</v>
      </c>
    </row>
    <row r="22" customFormat="false" ht="15.75" hidden="false" customHeight="true" outlineLevel="0" collapsed="false">
      <c r="A22" s="15" t="s">
        <v>24</v>
      </c>
      <c r="B22" s="19" t="s">
        <v>35</v>
      </c>
      <c r="C22" s="20" t="s">
        <v>36</v>
      </c>
      <c r="J22" s="15" t="s">
        <v>24</v>
      </c>
      <c r="K22" s="17" t="n">
        <v>32</v>
      </c>
      <c r="L22" s="17" t="n">
        <v>40</v>
      </c>
      <c r="M22" s="21" t="s">
        <v>37</v>
      </c>
    </row>
    <row r="23" customFormat="false" ht="15.75" hidden="false" customHeight="true" outlineLevel="0" collapsed="false">
      <c r="A23" s="11" t="s">
        <v>25</v>
      </c>
      <c r="B23" s="22" t="s">
        <v>38</v>
      </c>
      <c r="C23" s="23" t="s">
        <v>39</v>
      </c>
      <c r="J23" s="11" t="s">
        <v>25</v>
      </c>
      <c r="K23" s="13" t="n">
        <v>33</v>
      </c>
      <c r="L23" s="13" t="n">
        <v>39</v>
      </c>
      <c r="M23" s="24" t="s">
        <v>40</v>
      </c>
    </row>
    <row r="24" customFormat="false" ht="15.75" hidden="false" customHeight="true" outlineLevel="0" collapsed="false">
      <c r="A24" s="15" t="s">
        <v>26</v>
      </c>
      <c r="B24" s="19" t="s">
        <v>41</v>
      </c>
      <c r="C24" s="20" t="s">
        <v>42</v>
      </c>
      <c r="J24" s="15" t="s">
        <v>26</v>
      </c>
      <c r="K24" s="17" t="n">
        <v>37.5</v>
      </c>
      <c r="L24" s="17" t="n">
        <v>39</v>
      </c>
      <c r="M24" s="21" t="s">
        <v>43</v>
      </c>
    </row>
    <row r="25" customFormat="false" ht="15.75" hidden="false" customHeight="true" outlineLevel="0" collapsed="false">
      <c r="A25" s="11" t="s">
        <v>27</v>
      </c>
      <c r="B25" s="22" t="s">
        <v>44</v>
      </c>
      <c r="C25" s="23" t="s">
        <v>45</v>
      </c>
      <c r="J25" s="11" t="s">
        <v>27</v>
      </c>
      <c r="K25" s="13" t="n">
        <v>38</v>
      </c>
      <c r="L25" s="13" t="n">
        <v>40</v>
      </c>
      <c r="M25" s="24" t="s">
        <v>46</v>
      </c>
    </row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9.5" hidden="false" customHeight="true" outlineLevel="0" collapsed="false">
      <c r="A33" s="9" t="s">
        <v>47</v>
      </c>
      <c r="B33" s="9"/>
      <c r="C33" s="9"/>
      <c r="D33" s="9"/>
      <c r="E33" s="9"/>
      <c r="F33" s="9"/>
      <c r="G33" s="9"/>
      <c r="H33" s="9"/>
      <c r="J33" s="9" t="s">
        <v>48</v>
      </c>
      <c r="K33" s="9"/>
      <c r="L33" s="9"/>
      <c r="M33" s="9"/>
      <c r="N33" s="9"/>
      <c r="O33" s="9"/>
      <c r="P33" s="9"/>
      <c r="Q33" s="9"/>
    </row>
    <row r="34" customFormat="false" ht="15.75" hidden="false" customHeight="true" outlineLevel="0" collapsed="false">
      <c r="A34" s="25" t="s">
        <v>20</v>
      </c>
      <c r="B34" s="25" t="s">
        <v>49</v>
      </c>
      <c r="C34" s="25" t="s">
        <v>50</v>
      </c>
      <c r="D34" s="25" t="s">
        <v>51</v>
      </c>
      <c r="E34" s="25" t="s">
        <v>50</v>
      </c>
      <c r="F34" s="25" t="s">
        <v>52</v>
      </c>
      <c r="G34" s="25" t="s">
        <v>50</v>
      </c>
      <c r="J34" s="25" t="s">
        <v>20</v>
      </c>
      <c r="K34" s="25" t="s">
        <v>53</v>
      </c>
    </row>
    <row r="35" customFormat="false" ht="15.75" hidden="false" customHeight="true" outlineLevel="0" collapsed="false">
      <c r="A35" s="11" t="s">
        <v>27</v>
      </c>
      <c r="B35" s="26" t="s">
        <v>54</v>
      </c>
      <c r="C35" s="13" t="s">
        <v>55</v>
      </c>
      <c r="D35" s="27" t="s">
        <v>56</v>
      </c>
      <c r="E35" s="13" t="s">
        <v>57</v>
      </c>
      <c r="F35" s="28" t="s">
        <v>58</v>
      </c>
      <c r="G35" s="13" t="s">
        <v>57</v>
      </c>
      <c r="J35" s="11" t="s">
        <v>24</v>
      </c>
      <c r="K35" s="14" t="n">
        <v>38.6</v>
      </c>
    </row>
    <row r="36" customFormat="false" ht="15.75" hidden="false" customHeight="true" outlineLevel="0" collapsed="false">
      <c r="A36" s="15" t="s">
        <v>26</v>
      </c>
      <c r="B36" s="26" t="s">
        <v>59</v>
      </c>
      <c r="C36" s="17" t="s">
        <v>60</v>
      </c>
      <c r="D36" s="27" t="s">
        <v>61</v>
      </c>
      <c r="E36" s="17" t="s">
        <v>62</v>
      </c>
      <c r="F36" s="28" t="s">
        <v>58</v>
      </c>
      <c r="G36" s="17" t="s">
        <v>63</v>
      </c>
      <c r="J36" s="15" t="s">
        <v>26</v>
      </c>
      <c r="K36" s="18" t="n">
        <v>27.9</v>
      </c>
    </row>
    <row r="37" customFormat="false" ht="15.75" hidden="false" customHeight="true" outlineLevel="0" collapsed="false">
      <c r="A37" s="11" t="s">
        <v>25</v>
      </c>
      <c r="B37" s="26" t="s">
        <v>54</v>
      </c>
      <c r="C37" s="13" t="s">
        <v>64</v>
      </c>
      <c r="D37" s="27" t="s">
        <v>65</v>
      </c>
      <c r="E37" s="13" t="s">
        <v>64</v>
      </c>
      <c r="F37" s="28" t="s">
        <v>66</v>
      </c>
      <c r="G37" s="13" t="s">
        <v>64</v>
      </c>
      <c r="J37" s="11" t="s">
        <v>25</v>
      </c>
      <c r="K37" s="14" t="n">
        <v>23.9</v>
      </c>
    </row>
    <row r="38" customFormat="false" ht="15.75" hidden="false" customHeight="true" outlineLevel="0" collapsed="false">
      <c r="A38" s="15" t="s">
        <v>24</v>
      </c>
      <c r="B38" s="26" t="s">
        <v>67</v>
      </c>
      <c r="C38" s="17" t="s">
        <v>64</v>
      </c>
      <c r="D38" s="27" t="s">
        <v>68</v>
      </c>
      <c r="E38" s="17" t="s">
        <v>64</v>
      </c>
      <c r="F38" s="28" t="s">
        <v>54</v>
      </c>
      <c r="G38" s="17" t="s">
        <v>64</v>
      </c>
      <c r="J38" s="15" t="s">
        <v>27</v>
      </c>
      <c r="K38" s="18" t="n">
        <v>9.7</v>
      </c>
    </row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5" hidden="false" customHeight="true" outlineLevel="0" collapsed="false">
      <c r="A48" s="29" t="s">
        <v>69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</row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25">
    <mergeCell ref="A1:Q1"/>
    <mergeCell ref="A2:Q2"/>
    <mergeCell ref="A4:B4"/>
    <mergeCell ref="C4:D4"/>
    <mergeCell ref="E4:F4"/>
    <mergeCell ref="G4:H4"/>
    <mergeCell ref="I4:J4"/>
    <mergeCell ref="K4:L4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7:H7"/>
    <mergeCell ref="J7:Q7"/>
    <mergeCell ref="A20:H20"/>
    <mergeCell ref="J20:Q20"/>
    <mergeCell ref="A33:H33"/>
    <mergeCell ref="J33:Q33"/>
    <mergeCell ref="A48:Q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6"/>
  </cols>
  <sheetData>
    <row r="1" customFormat="false" ht="34.5" hidden="false" customHeight="true" outlineLevel="0" collapsed="false">
      <c r="A1" s="30" t="s">
        <v>70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31" t="s">
        <v>71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customFormat="false" ht="19.5" hidden="false" customHeight="true" outlineLevel="0" collapsed="false">
      <c r="A4" s="32" t="s">
        <v>72</v>
      </c>
      <c r="B4" s="32"/>
      <c r="C4" s="32"/>
    </row>
    <row r="5" customFormat="false" ht="18" hidden="false" customHeight="true" outlineLevel="0" collapsed="false">
      <c r="A5" s="10" t="s">
        <v>20</v>
      </c>
      <c r="B5" s="10" t="s">
        <v>21</v>
      </c>
      <c r="C5" s="10" t="s">
        <v>73</v>
      </c>
    </row>
    <row r="6" customFormat="false" ht="15.75" hidden="false" customHeight="true" outlineLevel="0" collapsed="false">
      <c r="A6" s="15" t="s">
        <v>24</v>
      </c>
      <c r="B6" s="16" t="n">
        <v>2.9</v>
      </c>
      <c r="C6" s="18" t="n">
        <v>38.6</v>
      </c>
    </row>
    <row r="7" customFormat="false" ht="15.75" hidden="false" customHeight="true" outlineLevel="0" collapsed="false">
      <c r="A7" s="11" t="s">
        <v>25</v>
      </c>
      <c r="B7" s="12" t="n">
        <v>1.8</v>
      </c>
      <c r="C7" s="14" t="n">
        <v>23.9</v>
      </c>
    </row>
    <row r="8" customFormat="false" ht="15.75" hidden="false" customHeight="true" outlineLevel="0" collapsed="false">
      <c r="A8" s="15" t="s">
        <v>26</v>
      </c>
      <c r="B8" s="16" t="n">
        <v>2.1</v>
      </c>
      <c r="C8" s="18" t="n">
        <v>27.9</v>
      </c>
    </row>
    <row r="9" customFormat="false" ht="15.75" hidden="false" customHeight="true" outlineLevel="0" collapsed="false">
      <c r="A9" s="11" t="s">
        <v>27</v>
      </c>
      <c r="B9" s="12" t="n">
        <v>1.1</v>
      </c>
      <c r="C9" s="14" t="n">
        <v>9.7</v>
      </c>
    </row>
    <row r="10" customFormat="false" ht="18" hidden="false" customHeight="true" outlineLevel="0" collapsed="false">
      <c r="A10" s="33" t="s">
        <v>74</v>
      </c>
      <c r="B10" s="34" t="n">
        <f aca="false">SUM(B6:B9)</f>
        <v>7.9</v>
      </c>
      <c r="C10" s="35" t="n">
        <f aca="false">SUM(C6:C9)</f>
        <v>100.1</v>
      </c>
    </row>
    <row r="12" customFormat="false" ht="19.5" hidden="false" customHeight="true" outlineLevel="0" collapsed="false">
      <c r="A12" s="32" t="s">
        <v>75</v>
      </c>
      <c r="B12" s="32"/>
      <c r="C12" s="32"/>
      <c r="D12" s="32"/>
    </row>
    <row r="13" customFormat="false" ht="18" hidden="false" customHeight="true" outlineLevel="0" collapsed="false">
      <c r="A13" s="10" t="s">
        <v>76</v>
      </c>
      <c r="B13" s="10" t="s">
        <v>77</v>
      </c>
      <c r="C13" s="10" t="s">
        <v>78</v>
      </c>
      <c r="D13" s="10" t="s">
        <v>79</v>
      </c>
    </row>
    <row r="14" customFormat="false" ht="15.75" hidden="false" customHeight="true" outlineLevel="0" collapsed="false">
      <c r="A14" s="15" t="s">
        <v>80</v>
      </c>
      <c r="B14" s="17" t="s">
        <v>81</v>
      </c>
      <c r="C14" s="17" t="s">
        <v>82</v>
      </c>
      <c r="D14" s="17" t="s">
        <v>83</v>
      </c>
    </row>
    <row r="15" customFormat="false" ht="15.75" hidden="false" customHeight="true" outlineLevel="0" collapsed="false">
      <c r="A15" s="11" t="s">
        <v>31</v>
      </c>
      <c r="B15" s="13" t="s">
        <v>84</v>
      </c>
      <c r="C15" s="13" t="s">
        <v>85</v>
      </c>
      <c r="D15" s="13" t="s">
        <v>86</v>
      </c>
    </row>
    <row r="16" customFormat="false" ht="15.75" hidden="false" customHeight="true" outlineLevel="0" collapsed="false">
      <c r="A16" s="15" t="s">
        <v>30</v>
      </c>
      <c r="B16" s="17" t="s">
        <v>87</v>
      </c>
      <c r="C16" s="17" t="s">
        <v>88</v>
      </c>
      <c r="D16" s="17" t="s">
        <v>89</v>
      </c>
    </row>
    <row r="18" customFormat="false" ht="19.5" hidden="false" customHeight="true" outlineLevel="0" collapsed="false">
      <c r="A18" s="32" t="s">
        <v>90</v>
      </c>
      <c r="B18" s="32"/>
      <c r="C18" s="32"/>
    </row>
    <row r="19" customFormat="false" ht="18" hidden="false" customHeight="true" outlineLevel="0" collapsed="false">
      <c r="A19" s="10" t="s">
        <v>91</v>
      </c>
      <c r="B19" s="10" t="s">
        <v>92</v>
      </c>
      <c r="C19" s="10" t="s">
        <v>93</v>
      </c>
    </row>
    <row r="20" customFormat="false" ht="15.75" hidden="false" customHeight="true" outlineLevel="0" collapsed="false">
      <c r="A20" s="15" t="s">
        <v>94</v>
      </c>
      <c r="B20" s="17" t="s">
        <v>24</v>
      </c>
      <c r="C20" s="15" t="s">
        <v>95</v>
      </c>
    </row>
    <row r="21" customFormat="false" ht="15.75" hidden="false" customHeight="true" outlineLevel="0" collapsed="false">
      <c r="A21" s="11" t="s">
        <v>96</v>
      </c>
      <c r="B21" s="13" t="s">
        <v>26</v>
      </c>
      <c r="C21" s="11" t="s">
        <v>97</v>
      </c>
    </row>
    <row r="22" customFormat="false" ht="15.75" hidden="false" customHeight="true" outlineLevel="0" collapsed="false">
      <c r="A22" s="15" t="s">
        <v>98</v>
      </c>
      <c r="B22" s="17" t="s">
        <v>25</v>
      </c>
      <c r="C22" s="15" t="s">
        <v>99</v>
      </c>
    </row>
    <row r="23" customFormat="false" ht="15.75" hidden="false" customHeight="true" outlineLevel="0" collapsed="false">
      <c r="A23" s="11" t="s">
        <v>100</v>
      </c>
      <c r="B23" s="13" t="s">
        <v>24</v>
      </c>
      <c r="C23" s="11" t="s">
        <v>101</v>
      </c>
    </row>
    <row r="24" customFormat="false" ht="15.75" hidden="false" customHeight="true" outlineLevel="0" collapsed="false">
      <c r="A24" s="15" t="s">
        <v>102</v>
      </c>
      <c r="B24" s="17" t="s">
        <v>24</v>
      </c>
      <c r="C24" s="15" t="s">
        <v>103</v>
      </c>
    </row>
    <row r="26" customFormat="false" ht="19.5" hidden="false" customHeight="true" outlineLevel="0" collapsed="false">
      <c r="A26" s="36" t="s">
        <v>104</v>
      </c>
      <c r="B26" s="36"/>
      <c r="C26" s="36"/>
    </row>
    <row r="27" customFormat="false" ht="18" hidden="false" customHeight="true" outlineLevel="0" collapsed="false">
      <c r="A27" s="10" t="s">
        <v>22</v>
      </c>
      <c r="B27" s="10" t="s">
        <v>105</v>
      </c>
      <c r="C27" s="10" t="s">
        <v>106</v>
      </c>
    </row>
    <row r="28" customFormat="false" ht="15.75" hidden="false" customHeight="true" outlineLevel="0" collapsed="false">
      <c r="A28" s="17" t="n">
        <v>2011</v>
      </c>
      <c r="B28" s="37" t="n">
        <v>22</v>
      </c>
      <c r="C28" s="17" t="s">
        <v>64</v>
      </c>
    </row>
    <row r="29" customFormat="false" ht="15.75" hidden="false" customHeight="true" outlineLevel="0" collapsed="false">
      <c r="A29" s="13" t="n">
        <v>2015</v>
      </c>
      <c r="B29" s="38" t="n">
        <v>334</v>
      </c>
      <c r="C29" s="39" t="s">
        <v>107</v>
      </c>
    </row>
    <row r="30" customFormat="false" ht="15.75" hidden="false" customHeight="true" outlineLevel="0" collapsed="false">
      <c r="A30" s="17" t="n">
        <v>2018</v>
      </c>
      <c r="B30" s="37" t="n">
        <v>1581</v>
      </c>
      <c r="C30" s="40" t="s">
        <v>108</v>
      </c>
    </row>
  </sheetData>
  <mergeCells count="6">
    <mergeCell ref="A1:K1"/>
    <mergeCell ref="A2:K2"/>
    <mergeCell ref="A4:C4"/>
    <mergeCell ref="A12:D12"/>
    <mergeCell ref="A18:C18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3" min="1" style="0" width="16"/>
  </cols>
  <sheetData>
    <row r="1" customFormat="false" ht="34.5" hidden="false" customHeight="true" outlineLevel="0" collapsed="false">
      <c r="A1" s="30" t="s">
        <v>109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customFormat="false" ht="15" hidden="false" customHeight="true" outlineLevel="0" collapsed="false">
      <c r="A2" s="31" t="s">
        <v>110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4" customFormat="false" ht="19.5" hidden="false" customHeight="true" outlineLevel="0" collapsed="false">
      <c r="A4" s="32" t="s">
        <v>111</v>
      </c>
      <c r="B4" s="32"/>
      <c r="C4" s="32"/>
      <c r="D4" s="32"/>
      <c r="E4" s="32"/>
    </row>
    <row r="5" customFormat="false" ht="18" hidden="false" customHeight="true" outlineLevel="0" collapsed="false">
      <c r="A5" s="10" t="s">
        <v>20</v>
      </c>
      <c r="B5" s="10" t="s">
        <v>30</v>
      </c>
      <c r="C5" s="10" t="s">
        <v>31</v>
      </c>
      <c r="D5" s="10" t="s">
        <v>112</v>
      </c>
      <c r="E5" s="10" t="s">
        <v>113</v>
      </c>
    </row>
    <row r="6" customFormat="false" ht="15.75" hidden="false" customHeight="true" outlineLevel="0" collapsed="false">
      <c r="A6" s="15" t="s">
        <v>24</v>
      </c>
      <c r="B6" s="19" t="s">
        <v>35</v>
      </c>
      <c r="C6" s="20" t="s">
        <v>36</v>
      </c>
      <c r="D6" s="16" t="n">
        <v>6</v>
      </c>
      <c r="E6" s="41" t="n">
        <v>19.1</v>
      </c>
    </row>
    <row r="7" customFormat="false" ht="15.75" hidden="false" customHeight="true" outlineLevel="0" collapsed="false">
      <c r="A7" s="11" t="s">
        <v>25</v>
      </c>
      <c r="B7" s="22" t="s">
        <v>38</v>
      </c>
      <c r="C7" s="23" t="s">
        <v>39</v>
      </c>
      <c r="D7" s="12" t="n">
        <v>9.7</v>
      </c>
      <c r="E7" s="42" t="n">
        <v>16.9</v>
      </c>
    </row>
    <row r="8" customFormat="false" ht="15.75" hidden="false" customHeight="true" outlineLevel="0" collapsed="false">
      <c r="A8" s="15" t="s">
        <v>26</v>
      </c>
      <c r="B8" s="19" t="s">
        <v>41</v>
      </c>
      <c r="C8" s="20" t="s">
        <v>42</v>
      </c>
      <c r="D8" s="16" t="n">
        <v>24.3</v>
      </c>
      <c r="E8" s="41" t="n">
        <v>20.3</v>
      </c>
    </row>
    <row r="9" customFormat="false" ht="15.75" hidden="false" customHeight="true" outlineLevel="0" collapsed="false">
      <c r="A9" s="11" t="s">
        <v>27</v>
      </c>
      <c r="B9" s="22" t="s">
        <v>114</v>
      </c>
      <c r="C9" s="23" t="s">
        <v>115</v>
      </c>
      <c r="D9" s="12" t="n">
        <v>36</v>
      </c>
      <c r="E9" s="42" t="n">
        <v>14.6</v>
      </c>
    </row>
    <row r="12" customFormat="false" ht="19.5" hidden="false" customHeight="true" outlineLevel="0" collapsed="false">
      <c r="A12" s="32" t="s">
        <v>116</v>
      </c>
      <c r="B12" s="32"/>
      <c r="C12" s="32"/>
      <c r="D12" s="32"/>
    </row>
    <row r="13" customFormat="false" ht="18" hidden="false" customHeight="true" outlineLevel="0" collapsed="false">
      <c r="A13" s="10" t="s">
        <v>22</v>
      </c>
      <c r="B13" s="10" t="s">
        <v>117</v>
      </c>
      <c r="C13" s="10" t="s">
        <v>118</v>
      </c>
      <c r="D13" s="10" t="s">
        <v>119</v>
      </c>
    </row>
    <row r="14" customFormat="false" ht="15.75" hidden="false" customHeight="true" outlineLevel="0" collapsed="false">
      <c r="A14" s="43" t="n">
        <v>1986</v>
      </c>
      <c r="B14" s="44" t="s">
        <v>120</v>
      </c>
      <c r="C14" s="17" t="n">
        <v>0</v>
      </c>
      <c r="D14" s="15" t="s">
        <v>121</v>
      </c>
    </row>
    <row r="15" customFormat="false" ht="15.75" hidden="false" customHeight="true" outlineLevel="0" collapsed="false">
      <c r="A15" s="13" t="n">
        <v>1995</v>
      </c>
      <c r="B15" s="13" t="s">
        <v>122</v>
      </c>
      <c r="C15" s="45" t="s">
        <v>123</v>
      </c>
      <c r="D15" s="11" t="s">
        <v>124</v>
      </c>
    </row>
    <row r="16" customFormat="false" ht="15.75" hidden="false" customHeight="true" outlineLevel="0" collapsed="false">
      <c r="A16" s="17" t="n">
        <v>2001</v>
      </c>
      <c r="B16" s="17" t="s">
        <v>125</v>
      </c>
      <c r="C16" s="46" t="s">
        <v>126</v>
      </c>
      <c r="D16" s="15" t="s">
        <v>127</v>
      </c>
    </row>
    <row r="17" customFormat="false" ht="15.75" hidden="false" customHeight="true" outlineLevel="0" collapsed="false">
      <c r="A17" s="13" t="n">
        <v>2010</v>
      </c>
      <c r="B17" s="13" t="s">
        <v>128</v>
      </c>
      <c r="C17" s="45" t="s">
        <v>129</v>
      </c>
      <c r="D17" s="11" t="s">
        <v>130</v>
      </c>
    </row>
    <row r="18" customFormat="false" ht="15.75" hidden="false" customHeight="true" outlineLevel="0" collapsed="false">
      <c r="A18" s="17" t="n">
        <v>2018</v>
      </c>
      <c r="B18" s="17" t="s">
        <v>17</v>
      </c>
      <c r="C18" s="46" t="s">
        <v>131</v>
      </c>
      <c r="D18" s="15" t="s">
        <v>132</v>
      </c>
    </row>
    <row r="19" customFormat="false" ht="15.75" hidden="false" customHeight="true" outlineLevel="0" collapsed="false">
      <c r="A19" s="13" t="n">
        <v>2019</v>
      </c>
      <c r="B19" s="13" t="s">
        <v>133</v>
      </c>
      <c r="C19" s="45" t="s">
        <v>134</v>
      </c>
      <c r="D19" s="11" t="s">
        <v>135</v>
      </c>
    </row>
    <row r="20" customFormat="false" ht="15.75" hidden="false" customHeight="true" outlineLevel="0" collapsed="false">
      <c r="A20" s="17" t="n">
        <v>2024</v>
      </c>
      <c r="B20" s="17" t="s">
        <v>136</v>
      </c>
      <c r="C20" s="46" t="s">
        <v>137</v>
      </c>
      <c r="D20" s="15" t="s">
        <v>138</v>
      </c>
    </row>
    <row r="23" customFormat="false" ht="19.5" hidden="false" customHeight="true" outlineLevel="0" collapsed="false">
      <c r="A23" s="32" t="s">
        <v>139</v>
      </c>
      <c r="B23" s="32"/>
      <c r="C23" s="32"/>
      <c r="D23" s="32"/>
      <c r="E23" s="32"/>
      <c r="F23" s="32"/>
      <c r="G23" s="32"/>
    </row>
    <row r="24" customFormat="false" ht="18" hidden="false" customHeight="true" outlineLevel="0" collapsed="false">
      <c r="A24" s="10" t="s">
        <v>140</v>
      </c>
      <c r="B24" s="10" t="s">
        <v>20</v>
      </c>
      <c r="C24" s="10" t="s">
        <v>141</v>
      </c>
      <c r="D24" s="10" t="s">
        <v>117</v>
      </c>
      <c r="E24" s="10" t="s">
        <v>140</v>
      </c>
      <c r="F24" s="10" t="s">
        <v>142</v>
      </c>
      <c r="G24" s="10" t="s">
        <v>143</v>
      </c>
    </row>
    <row r="25" customFormat="false" ht="15.75" hidden="false" customHeight="true" outlineLevel="0" collapsed="false">
      <c r="A25" s="47" t="n">
        <v>1</v>
      </c>
      <c r="B25" s="13" t="s">
        <v>27</v>
      </c>
      <c r="C25" s="13" t="s">
        <v>54</v>
      </c>
      <c r="D25" s="13" t="s">
        <v>55</v>
      </c>
      <c r="E25" s="48" t="n">
        <v>2</v>
      </c>
      <c r="F25" s="13" t="s">
        <v>56</v>
      </c>
      <c r="G25" s="13" t="s">
        <v>57</v>
      </c>
    </row>
    <row r="26" customFormat="false" ht="15.75" hidden="false" customHeight="true" outlineLevel="0" collapsed="false">
      <c r="A26" s="49" t="n">
        <v>3</v>
      </c>
      <c r="B26" s="17" t="s">
        <v>27</v>
      </c>
      <c r="C26" s="17" t="s">
        <v>58</v>
      </c>
      <c r="D26" s="17" t="s">
        <v>57</v>
      </c>
      <c r="E26" s="47" t="n">
        <v>1</v>
      </c>
      <c r="F26" s="17" t="s">
        <v>59</v>
      </c>
      <c r="G26" s="17" t="s">
        <v>64</v>
      </c>
    </row>
    <row r="27" customFormat="false" ht="15.75" hidden="false" customHeight="true" outlineLevel="0" collapsed="false">
      <c r="A27" s="47" t="n">
        <v>1</v>
      </c>
      <c r="B27" s="13" t="s">
        <v>26</v>
      </c>
      <c r="C27" s="13" t="s">
        <v>59</v>
      </c>
      <c r="D27" s="13" t="s">
        <v>60</v>
      </c>
      <c r="E27" s="48" t="n">
        <v>2</v>
      </c>
      <c r="F27" s="13" t="s">
        <v>61</v>
      </c>
      <c r="G27" s="13" t="s">
        <v>62</v>
      </c>
    </row>
    <row r="28" customFormat="false" ht="15.75" hidden="false" customHeight="true" outlineLevel="0" collapsed="false">
      <c r="A28" s="49" t="n">
        <v>3</v>
      </c>
      <c r="B28" s="17" t="s">
        <v>26</v>
      </c>
      <c r="C28" s="17" t="s">
        <v>58</v>
      </c>
      <c r="D28" s="17" t="s">
        <v>63</v>
      </c>
      <c r="E28" s="47" t="n">
        <v>1</v>
      </c>
      <c r="F28" s="17" t="s">
        <v>54</v>
      </c>
      <c r="G28" s="17" t="s">
        <v>64</v>
      </c>
    </row>
    <row r="29" customFormat="false" ht="15.75" hidden="false" customHeight="true" outlineLevel="0" collapsed="false">
      <c r="A29" s="47" t="n">
        <v>1</v>
      </c>
      <c r="B29" s="13" t="s">
        <v>25</v>
      </c>
      <c r="C29" s="13" t="s">
        <v>54</v>
      </c>
      <c r="D29" s="13" t="s">
        <v>64</v>
      </c>
      <c r="E29" s="48" t="n">
        <v>2</v>
      </c>
      <c r="F29" s="13" t="s">
        <v>59</v>
      </c>
      <c r="G29" s="13" t="s">
        <v>64</v>
      </c>
    </row>
    <row r="30" customFormat="false" ht="15.75" hidden="false" customHeight="true" outlineLevel="0" collapsed="false">
      <c r="A30" s="47" t="n">
        <v>1</v>
      </c>
      <c r="B30" s="17" t="s">
        <v>24</v>
      </c>
      <c r="C30" s="17" t="s">
        <v>67</v>
      </c>
      <c r="D30" s="17" t="s">
        <v>64</v>
      </c>
      <c r="E30" s="48" t="n">
        <v>2</v>
      </c>
      <c r="F30" s="17" t="s">
        <v>68</v>
      </c>
      <c r="G30" s="17" t="s">
        <v>64</v>
      </c>
    </row>
    <row r="31" customFormat="false" ht="15.75" hidden="false" customHeight="true" outlineLevel="0" collapsed="false">
      <c r="A31" s="49" t="n">
        <v>3</v>
      </c>
      <c r="B31" s="13" t="s">
        <v>24</v>
      </c>
      <c r="C31" s="13" t="s">
        <v>54</v>
      </c>
      <c r="D31" s="13" t="s">
        <v>64</v>
      </c>
      <c r="E31" s="13" t="n">
        <v>0</v>
      </c>
      <c r="F31" s="13" t="s">
        <v>64</v>
      </c>
      <c r="G31" s="13" t="s">
        <v>64</v>
      </c>
    </row>
    <row r="33" customFormat="false" ht="19.5" hidden="false" customHeight="true" outlineLevel="0" collapsed="false">
      <c r="A33" s="36" t="s">
        <v>144</v>
      </c>
      <c r="B33" s="36"/>
      <c r="C33" s="36"/>
      <c r="D33" s="36"/>
      <c r="E33" s="36"/>
    </row>
    <row r="34" customFormat="false" ht="18" hidden="false" customHeight="true" outlineLevel="0" collapsed="false">
      <c r="A34" s="10" t="s">
        <v>20</v>
      </c>
      <c r="B34" s="10" t="s">
        <v>145</v>
      </c>
      <c r="C34" s="10" t="s">
        <v>146</v>
      </c>
      <c r="D34" s="10" t="s">
        <v>147</v>
      </c>
      <c r="E34" s="10" t="s">
        <v>93</v>
      </c>
    </row>
    <row r="35" customFormat="false" ht="15.75" hidden="false" customHeight="true" outlineLevel="0" collapsed="false">
      <c r="A35" s="11" t="s">
        <v>24</v>
      </c>
      <c r="B35" s="22" t="s">
        <v>148</v>
      </c>
      <c r="C35" s="23" t="s">
        <v>149</v>
      </c>
      <c r="D35" s="13" t="s">
        <v>150</v>
      </c>
      <c r="E35" s="11" t="s">
        <v>151</v>
      </c>
    </row>
    <row r="36" customFormat="false" ht="15.75" hidden="false" customHeight="true" outlineLevel="0" collapsed="false">
      <c r="A36" s="15" t="s">
        <v>25</v>
      </c>
      <c r="B36" s="19" t="s">
        <v>152</v>
      </c>
      <c r="C36" s="20" t="s">
        <v>153</v>
      </c>
      <c r="D36" s="17" t="s">
        <v>154</v>
      </c>
      <c r="E36" s="15" t="s">
        <v>155</v>
      </c>
    </row>
    <row r="37" customFormat="false" ht="15.75" hidden="false" customHeight="true" outlineLevel="0" collapsed="false">
      <c r="A37" s="11" t="s">
        <v>26</v>
      </c>
      <c r="B37" s="22" t="s">
        <v>156</v>
      </c>
      <c r="C37" s="23" t="s">
        <v>157</v>
      </c>
      <c r="D37" s="13" t="s">
        <v>158</v>
      </c>
      <c r="E37" s="11" t="s">
        <v>159</v>
      </c>
    </row>
    <row r="38" customFormat="false" ht="15.75" hidden="false" customHeight="true" outlineLevel="0" collapsed="false">
      <c r="A38" s="15" t="s">
        <v>27</v>
      </c>
      <c r="B38" s="19" t="s">
        <v>160</v>
      </c>
      <c r="C38" s="20" t="s">
        <v>161</v>
      </c>
      <c r="D38" s="17" t="s">
        <v>162</v>
      </c>
      <c r="E38" s="15" t="s">
        <v>163</v>
      </c>
    </row>
  </sheetData>
  <mergeCells count="6">
    <mergeCell ref="A1:M1"/>
    <mergeCell ref="A2:M2"/>
    <mergeCell ref="A4:E4"/>
    <mergeCell ref="A12:D12"/>
    <mergeCell ref="A23:G23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6"/>
  </cols>
  <sheetData>
    <row r="1" customFormat="false" ht="34.5" hidden="false" customHeight="true" outlineLevel="0" collapsed="false">
      <c r="A1" s="30" t="s">
        <v>164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31" t="s">
        <v>110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customFormat="false" ht="19.5" hidden="false" customHeight="true" outlineLevel="0" collapsed="false">
      <c r="A4" s="32" t="s">
        <v>19</v>
      </c>
      <c r="B4" s="32"/>
      <c r="C4" s="32"/>
      <c r="D4" s="32"/>
    </row>
    <row r="5" customFormat="false" ht="18" hidden="false" customHeight="true" outlineLevel="0" collapsed="false">
      <c r="A5" s="10" t="s">
        <v>22</v>
      </c>
      <c r="B5" s="10" t="s">
        <v>23</v>
      </c>
      <c r="C5" s="10" t="s">
        <v>165</v>
      </c>
      <c r="D5" s="10" t="s">
        <v>166</v>
      </c>
    </row>
    <row r="6" customFormat="false" ht="15.75" hidden="false" customHeight="true" outlineLevel="0" collapsed="false">
      <c r="A6" s="43" t="n">
        <v>1986</v>
      </c>
      <c r="B6" s="50" t="n">
        <v>18</v>
      </c>
      <c r="C6" s="51" t="n">
        <v>82</v>
      </c>
      <c r="D6" s="15" t="s">
        <v>167</v>
      </c>
    </row>
    <row r="7" customFormat="false" ht="15.75" hidden="false" customHeight="true" outlineLevel="0" collapsed="false">
      <c r="A7" s="13" t="n">
        <v>1990</v>
      </c>
      <c r="B7" s="52" t="n">
        <v>22</v>
      </c>
      <c r="C7" s="53" t="n">
        <v>78</v>
      </c>
      <c r="D7" s="11" t="s">
        <v>168</v>
      </c>
    </row>
    <row r="8" customFormat="false" ht="15.75" hidden="false" customHeight="true" outlineLevel="0" collapsed="false">
      <c r="A8" s="17" t="n">
        <v>1995</v>
      </c>
      <c r="B8" s="54" t="n">
        <v>28</v>
      </c>
      <c r="C8" s="55" t="n">
        <v>72</v>
      </c>
      <c r="D8" s="15" t="s">
        <v>169</v>
      </c>
    </row>
    <row r="9" customFormat="false" ht="15.75" hidden="false" customHeight="true" outlineLevel="0" collapsed="false">
      <c r="A9" s="13" t="n">
        <v>2000</v>
      </c>
      <c r="B9" s="52" t="n">
        <v>35</v>
      </c>
      <c r="C9" s="53" t="n">
        <v>65</v>
      </c>
      <c r="D9" s="11" t="s">
        <v>170</v>
      </c>
    </row>
    <row r="10" customFormat="false" ht="15.75" hidden="false" customHeight="true" outlineLevel="0" collapsed="false">
      <c r="A10" s="17" t="n">
        <v>2005</v>
      </c>
      <c r="B10" s="54" t="n">
        <v>40</v>
      </c>
      <c r="C10" s="55" t="n">
        <v>60</v>
      </c>
      <c r="D10" s="15" t="s">
        <v>171</v>
      </c>
    </row>
    <row r="11" customFormat="false" ht="15.75" hidden="false" customHeight="true" outlineLevel="0" collapsed="false">
      <c r="A11" s="13" t="n">
        <v>2010</v>
      </c>
      <c r="B11" s="52" t="n">
        <v>44</v>
      </c>
      <c r="C11" s="53" t="n">
        <v>56</v>
      </c>
      <c r="D11" s="11" t="s">
        <v>172</v>
      </c>
    </row>
    <row r="12" customFormat="false" ht="15.75" hidden="false" customHeight="true" outlineLevel="0" collapsed="false">
      <c r="A12" s="17" t="n">
        <v>2013</v>
      </c>
      <c r="B12" s="54" t="n">
        <v>47</v>
      </c>
      <c r="C12" s="55" t="n">
        <v>53</v>
      </c>
      <c r="D12" s="15" t="s">
        <v>173</v>
      </c>
    </row>
    <row r="13" customFormat="false" ht="15.75" hidden="false" customHeight="true" outlineLevel="0" collapsed="false">
      <c r="A13" s="13" t="n">
        <v>2015</v>
      </c>
      <c r="B13" s="52" t="n">
        <v>49</v>
      </c>
      <c r="C13" s="53" t="n">
        <v>51</v>
      </c>
      <c r="D13" s="11" t="s">
        <v>174</v>
      </c>
    </row>
    <row r="14" customFormat="false" ht="15.75" hidden="false" customHeight="true" outlineLevel="0" collapsed="false">
      <c r="A14" s="17" t="n">
        <v>2017</v>
      </c>
      <c r="B14" s="54" t="n">
        <v>50</v>
      </c>
      <c r="C14" s="55" t="n">
        <v>50</v>
      </c>
      <c r="D14" s="15" t="s">
        <v>175</v>
      </c>
    </row>
    <row r="15" customFormat="false" ht="15.75" hidden="false" customHeight="true" outlineLevel="0" collapsed="false">
      <c r="A15" s="56" t="n">
        <v>2018</v>
      </c>
      <c r="B15" s="57" t="n">
        <v>50.24</v>
      </c>
      <c r="C15" s="58" t="n">
        <v>49.76</v>
      </c>
      <c r="D15" s="59" t="s">
        <v>176</v>
      </c>
    </row>
    <row r="17" customFormat="false" ht="19.5" hidden="false" customHeight="true" outlineLevel="0" collapsed="false">
      <c r="A17" s="32" t="s">
        <v>177</v>
      </c>
      <c r="B17" s="32"/>
      <c r="C17" s="32"/>
    </row>
    <row r="18" customFormat="false" ht="18" hidden="false" customHeight="true" outlineLevel="0" collapsed="false">
      <c r="A18" s="10" t="s">
        <v>20</v>
      </c>
      <c r="B18" s="10" t="s">
        <v>23</v>
      </c>
      <c r="C18" s="10" t="s">
        <v>165</v>
      </c>
    </row>
    <row r="19" customFormat="false" ht="15.75" hidden="false" customHeight="true" outlineLevel="0" collapsed="false">
      <c r="A19" s="11" t="s">
        <v>24</v>
      </c>
      <c r="B19" s="60" t="n">
        <v>60</v>
      </c>
      <c r="C19" s="61" t="n">
        <v>40</v>
      </c>
    </row>
    <row r="20" customFormat="false" ht="15.75" hidden="false" customHeight="true" outlineLevel="0" collapsed="false">
      <c r="A20" s="15" t="s">
        <v>25</v>
      </c>
      <c r="B20" s="62" t="n">
        <v>48</v>
      </c>
      <c r="C20" s="63" t="n">
        <v>52</v>
      </c>
    </row>
    <row r="21" customFormat="false" ht="15.75" hidden="false" customHeight="true" outlineLevel="0" collapsed="false">
      <c r="A21" s="11" t="s">
        <v>26</v>
      </c>
      <c r="B21" s="60" t="n">
        <v>50</v>
      </c>
      <c r="C21" s="61" t="n">
        <v>50</v>
      </c>
    </row>
    <row r="22" customFormat="false" ht="15.75" hidden="false" customHeight="true" outlineLevel="0" collapsed="false">
      <c r="A22" s="15" t="s">
        <v>27</v>
      </c>
      <c r="B22" s="62" t="n">
        <v>44</v>
      </c>
      <c r="C22" s="63" t="n">
        <v>56</v>
      </c>
    </row>
    <row r="24" customFormat="false" ht="19.5" hidden="false" customHeight="true" outlineLevel="0" collapsed="false">
      <c r="A24" s="32" t="s">
        <v>178</v>
      </c>
      <c r="B24" s="32"/>
      <c r="C24" s="32"/>
    </row>
    <row r="25" customFormat="false" ht="18" hidden="false" customHeight="true" outlineLevel="0" collapsed="false">
      <c r="A25" s="10" t="s">
        <v>140</v>
      </c>
      <c r="B25" s="10" t="s">
        <v>141</v>
      </c>
      <c r="C25" s="10" t="s">
        <v>93</v>
      </c>
    </row>
    <row r="26" customFormat="false" ht="15.75" hidden="false" customHeight="true" outlineLevel="0" collapsed="false">
      <c r="A26" s="47" t="n">
        <v>1</v>
      </c>
      <c r="B26" s="17" t="s">
        <v>179</v>
      </c>
      <c r="C26" s="15" t="s">
        <v>180</v>
      </c>
    </row>
    <row r="27" customFormat="false" ht="15.75" hidden="false" customHeight="true" outlineLevel="0" collapsed="false">
      <c r="A27" s="48" t="n">
        <v>2</v>
      </c>
      <c r="B27" s="13" t="s">
        <v>181</v>
      </c>
      <c r="C27" s="11" t="s">
        <v>182</v>
      </c>
    </row>
    <row r="28" customFormat="false" ht="15.75" hidden="false" customHeight="true" outlineLevel="0" collapsed="false">
      <c r="A28" s="49" t="n">
        <v>3</v>
      </c>
      <c r="B28" s="17" t="s">
        <v>183</v>
      </c>
      <c r="C28" s="15" t="s">
        <v>184</v>
      </c>
    </row>
    <row r="29" customFormat="false" ht="15.75" hidden="false" customHeight="true" outlineLevel="0" collapsed="false">
      <c r="A29" s="13" t="n">
        <v>4</v>
      </c>
      <c r="B29" s="13" t="s">
        <v>185</v>
      </c>
      <c r="C29" s="11" t="s">
        <v>186</v>
      </c>
    </row>
    <row r="30" customFormat="false" ht="15.75" hidden="false" customHeight="true" outlineLevel="0" collapsed="false">
      <c r="A30" s="17" t="n">
        <v>5</v>
      </c>
      <c r="B30" s="17" t="s">
        <v>187</v>
      </c>
      <c r="C30" s="15" t="s">
        <v>188</v>
      </c>
    </row>
  </sheetData>
  <mergeCells count="5">
    <mergeCell ref="A1:K1"/>
    <mergeCell ref="A2:K2"/>
    <mergeCell ref="A4:D4"/>
    <mergeCell ref="A17:C17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6"/>
  </cols>
  <sheetData>
    <row r="1" customFormat="false" ht="34.5" hidden="false" customHeight="true" outlineLevel="0" collapsed="false">
      <c r="A1" s="30" t="s">
        <v>189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31" t="s">
        <v>110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customFormat="false" ht="19.5" hidden="false" customHeight="true" outlineLevel="0" collapsed="false">
      <c r="A4" s="32" t="s">
        <v>190</v>
      </c>
      <c r="B4" s="32"/>
      <c r="C4" s="32"/>
      <c r="D4" s="32"/>
    </row>
    <row r="5" customFormat="false" ht="18" hidden="false" customHeight="true" outlineLevel="0" collapsed="false">
      <c r="A5" s="10" t="s">
        <v>22</v>
      </c>
      <c r="B5" s="10" t="s">
        <v>191</v>
      </c>
      <c r="C5" s="10" t="s">
        <v>192</v>
      </c>
      <c r="D5" s="10" t="s">
        <v>193</v>
      </c>
    </row>
    <row r="6" customFormat="false" ht="15.75" hidden="false" customHeight="true" outlineLevel="0" collapsed="false">
      <c r="A6" s="17" t="n">
        <v>1986</v>
      </c>
      <c r="B6" s="64" t="n">
        <v>35.2</v>
      </c>
      <c r="C6" s="17" t="s">
        <v>64</v>
      </c>
      <c r="D6" s="15" t="s">
        <v>194</v>
      </c>
    </row>
    <row r="7" customFormat="false" ht="15.75" hidden="false" customHeight="true" outlineLevel="0" collapsed="false">
      <c r="A7" s="13" t="n">
        <v>1995</v>
      </c>
      <c r="B7" s="65" t="n">
        <v>36.5</v>
      </c>
      <c r="C7" s="45" t="s">
        <v>195</v>
      </c>
      <c r="D7" s="11" t="s">
        <v>196</v>
      </c>
    </row>
    <row r="8" customFormat="false" ht="15.75" hidden="false" customHeight="true" outlineLevel="0" collapsed="false">
      <c r="A8" s="17" t="n">
        <v>2000</v>
      </c>
      <c r="B8" s="64" t="n">
        <v>37</v>
      </c>
      <c r="C8" s="46" t="s">
        <v>197</v>
      </c>
      <c r="D8" s="15" t="s">
        <v>198</v>
      </c>
    </row>
    <row r="9" customFormat="false" ht="15.75" hidden="false" customHeight="true" outlineLevel="0" collapsed="false">
      <c r="A9" s="13" t="n">
        <v>2005</v>
      </c>
      <c r="B9" s="65" t="n">
        <v>37.8</v>
      </c>
      <c r="C9" s="45" t="s">
        <v>199</v>
      </c>
      <c r="D9" s="11" t="s">
        <v>200</v>
      </c>
    </row>
    <row r="10" customFormat="false" ht="15.75" hidden="false" customHeight="true" outlineLevel="0" collapsed="false">
      <c r="A10" s="17" t="n">
        <v>2010</v>
      </c>
      <c r="B10" s="64" t="n">
        <v>38.5</v>
      </c>
      <c r="C10" s="46" t="s">
        <v>201</v>
      </c>
      <c r="D10" s="15" t="s">
        <v>202</v>
      </c>
    </row>
    <row r="11" customFormat="false" ht="15.75" hidden="false" customHeight="true" outlineLevel="0" collapsed="false">
      <c r="A11" s="13" t="n">
        <v>2015</v>
      </c>
      <c r="B11" s="65" t="n">
        <v>39</v>
      </c>
      <c r="C11" s="45" t="s">
        <v>203</v>
      </c>
      <c r="D11" s="11" t="s">
        <v>204</v>
      </c>
    </row>
    <row r="12" customFormat="false" ht="15.75" hidden="false" customHeight="true" outlineLevel="0" collapsed="false">
      <c r="A12" s="17" t="n">
        <v>2018</v>
      </c>
      <c r="B12" s="64" t="n">
        <v>39.3</v>
      </c>
      <c r="C12" s="46" t="s">
        <v>205</v>
      </c>
      <c r="D12" s="15" t="s">
        <v>206</v>
      </c>
    </row>
    <row r="14" customFormat="false" ht="19.5" hidden="false" customHeight="true" outlineLevel="0" collapsed="false">
      <c r="A14" s="32" t="s">
        <v>29</v>
      </c>
      <c r="B14" s="32"/>
      <c r="C14" s="32"/>
      <c r="D14" s="32"/>
      <c r="E14" s="32"/>
    </row>
    <row r="15" customFormat="false" ht="18" hidden="false" customHeight="true" outlineLevel="0" collapsed="false">
      <c r="A15" s="10" t="s">
        <v>20</v>
      </c>
      <c r="B15" s="10" t="s">
        <v>32</v>
      </c>
      <c r="C15" s="10" t="s">
        <v>33</v>
      </c>
      <c r="D15" s="10" t="s">
        <v>207</v>
      </c>
      <c r="E15" s="10" t="s">
        <v>208</v>
      </c>
    </row>
    <row r="16" customFormat="false" ht="15.75" hidden="false" customHeight="true" outlineLevel="0" collapsed="false">
      <c r="A16" s="15" t="s">
        <v>24</v>
      </c>
      <c r="B16" s="16" t="n">
        <v>32</v>
      </c>
      <c r="C16" s="64" t="n">
        <v>40</v>
      </c>
      <c r="D16" s="66" t="n">
        <v>8</v>
      </c>
      <c r="E16" s="41" t="n">
        <v>25</v>
      </c>
    </row>
    <row r="17" customFormat="false" ht="15.75" hidden="false" customHeight="true" outlineLevel="0" collapsed="false">
      <c r="A17" s="11" t="s">
        <v>25</v>
      </c>
      <c r="B17" s="12" t="n">
        <v>33</v>
      </c>
      <c r="C17" s="65" t="n">
        <v>39</v>
      </c>
      <c r="D17" s="67" t="n">
        <v>6</v>
      </c>
      <c r="E17" s="42" t="n">
        <v>18.2</v>
      </c>
    </row>
    <row r="18" customFormat="false" ht="15.75" hidden="false" customHeight="true" outlineLevel="0" collapsed="false">
      <c r="A18" s="15" t="s">
        <v>26</v>
      </c>
      <c r="B18" s="16" t="n">
        <v>37.5</v>
      </c>
      <c r="C18" s="64" t="n">
        <v>39</v>
      </c>
      <c r="D18" s="66" t="n">
        <v>1.5</v>
      </c>
      <c r="E18" s="41" t="n">
        <v>4</v>
      </c>
    </row>
    <row r="19" customFormat="false" ht="15.75" hidden="false" customHeight="true" outlineLevel="0" collapsed="false">
      <c r="A19" s="11" t="s">
        <v>27</v>
      </c>
      <c r="B19" s="12" t="n">
        <v>38</v>
      </c>
      <c r="C19" s="65" t="n">
        <v>40</v>
      </c>
      <c r="D19" s="67" t="n">
        <v>2</v>
      </c>
      <c r="E19" s="42" t="n">
        <v>5.3</v>
      </c>
    </row>
    <row r="21" customFormat="false" ht="19.5" hidden="false" customHeight="true" outlineLevel="0" collapsed="false">
      <c r="A21" s="32" t="s">
        <v>209</v>
      </c>
      <c r="B21" s="32"/>
      <c r="C21" s="32"/>
      <c r="D21" s="32"/>
    </row>
    <row r="22" customFormat="false" ht="18" hidden="false" customHeight="true" outlineLevel="0" collapsed="false">
      <c r="A22" s="10" t="s">
        <v>210</v>
      </c>
      <c r="B22" s="10" t="s">
        <v>211</v>
      </c>
      <c r="C22" s="10" t="s">
        <v>212</v>
      </c>
      <c r="D22" s="10" t="s">
        <v>93</v>
      </c>
    </row>
    <row r="23" customFormat="false" ht="15.75" hidden="false" customHeight="true" outlineLevel="0" collapsed="false">
      <c r="A23" s="11" t="s">
        <v>213</v>
      </c>
      <c r="B23" s="53" t="n">
        <v>2</v>
      </c>
      <c r="C23" s="68" t="s">
        <v>64</v>
      </c>
      <c r="D23" s="11" t="s">
        <v>214</v>
      </c>
    </row>
    <row r="24" customFormat="false" ht="15.75" hidden="false" customHeight="true" outlineLevel="0" collapsed="false">
      <c r="A24" s="15" t="s">
        <v>215</v>
      </c>
      <c r="B24" s="55" t="n">
        <v>18</v>
      </c>
      <c r="C24" s="69" t="s">
        <v>216</v>
      </c>
      <c r="D24" s="15" t="s">
        <v>217</v>
      </c>
    </row>
    <row r="25" customFormat="false" ht="15.75" hidden="false" customHeight="true" outlineLevel="0" collapsed="false">
      <c r="A25" s="70" t="s">
        <v>218</v>
      </c>
      <c r="B25" s="71" t="n">
        <v>31.08</v>
      </c>
      <c r="C25" s="68" t="s">
        <v>219</v>
      </c>
      <c r="D25" s="11" t="s">
        <v>220</v>
      </c>
    </row>
    <row r="26" customFormat="false" ht="15.75" hidden="false" customHeight="true" outlineLevel="0" collapsed="false">
      <c r="A26" s="72" t="s">
        <v>221</v>
      </c>
      <c r="B26" s="73" t="n">
        <v>30.84</v>
      </c>
      <c r="C26" s="69" t="s">
        <v>222</v>
      </c>
      <c r="D26" s="15" t="s">
        <v>223</v>
      </c>
    </row>
    <row r="27" customFormat="false" ht="15.75" hidden="false" customHeight="true" outlineLevel="0" collapsed="false">
      <c r="A27" s="11" t="s">
        <v>224</v>
      </c>
      <c r="B27" s="53" t="n">
        <v>14</v>
      </c>
      <c r="C27" s="68" t="s">
        <v>225</v>
      </c>
      <c r="D27" s="11" t="s">
        <v>226</v>
      </c>
    </row>
    <row r="28" customFormat="false" ht="15.75" hidden="false" customHeight="true" outlineLevel="0" collapsed="false">
      <c r="A28" s="15" t="s">
        <v>227</v>
      </c>
      <c r="B28" s="55" t="n">
        <v>4.08</v>
      </c>
      <c r="C28" s="69" t="s">
        <v>225</v>
      </c>
      <c r="D28" s="15" t="s">
        <v>228</v>
      </c>
    </row>
    <row r="30" customFormat="false" ht="19.5" hidden="false" customHeight="true" outlineLevel="0" collapsed="false">
      <c r="A30" s="36" t="s">
        <v>229</v>
      </c>
      <c r="B30" s="36"/>
      <c r="C30" s="36"/>
    </row>
    <row r="31" customFormat="false" ht="18" hidden="false" customHeight="true" outlineLevel="0" collapsed="false">
      <c r="A31" s="10" t="s">
        <v>230</v>
      </c>
      <c r="B31" s="10" t="s">
        <v>231</v>
      </c>
      <c r="C31" s="10" t="s">
        <v>232</v>
      </c>
    </row>
    <row r="32" customFormat="false" ht="15.75" hidden="false" customHeight="true" outlineLevel="0" collapsed="false">
      <c r="A32" s="20" t="s">
        <v>31</v>
      </c>
      <c r="B32" s="17" t="n">
        <v>30</v>
      </c>
      <c r="C32" s="15" t="s">
        <v>233</v>
      </c>
    </row>
    <row r="33" customFormat="false" ht="15.75" hidden="false" customHeight="true" outlineLevel="0" collapsed="false">
      <c r="A33" s="22" t="s">
        <v>30</v>
      </c>
      <c r="B33" s="13" t="n">
        <v>40</v>
      </c>
      <c r="C33" s="11" t="s">
        <v>234</v>
      </c>
    </row>
    <row r="34" customFormat="false" ht="15.75" hidden="false" customHeight="true" outlineLevel="0" collapsed="false">
      <c r="A34" s="44" t="s">
        <v>235</v>
      </c>
      <c r="B34" s="17" t="s">
        <v>236</v>
      </c>
      <c r="C34" s="15" t="s">
        <v>237</v>
      </c>
    </row>
  </sheetData>
  <mergeCells count="6">
    <mergeCell ref="A1:K1"/>
    <mergeCell ref="A2:K2"/>
    <mergeCell ref="A4:D4"/>
    <mergeCell ref="A14:E14"/>
    <mergeCell ref="A21:D21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7"/>
  </cols>
  <sheetData>
    <row r="1" customFormat="false" ht="34.5" hidden="false" customHeight="true" outlineLevel="0" collapsed="false">
      <c r="A1" s="30" t="s">
        <v>238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31" t="s">
        <v>239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customFormat="false" ht="19.5" hidden="false" customHeight="true" outlineLevel="0" collapsed="false">
      <c r="A4" s="32" t="s">
        <v>240</v>
      </c>
      <c r="B4" s="32"/>
      <c r="C4" s="32"/>
      <c r="D4" s="32"/>
      <c r="E4" s="32"/>
      <c r="F4" s="32"/>
    </row>
    <row r="5" customFormat="false" ht="18" hidden="false" customHeight="true" outlineLevel="0" collapsed="false">
      <c r="A5" s="10" t="s">
        <v>20</v>
      </c>
      <c r="B5" s="10" t="s">
        <v>241</v>
      </c>
      <c r="C5" s="10" t="s">
        <v>50</v>
      </c>
      <c r="D5" s="10" t="s">
        <v>242</v>
      </c>
      <c r="E5" s="10" t="s">
        <v>50</v>
      </c>
      <c r="F5" s="10" t="s">
        <v>243</v>
      </c>
    </row>
    <row r="6" customFormat="false" ht="15.75" hidden="false" customHeight="true" outlineLevel="0" collapsed="false">
      <c r="A6" s="72" t="s">
        <v>27</v>
      </c>
      <c r="B6" s="26" t="s">
        <v>54</v>
      </c>
      <c r="C6" s="74" t="s">
        <v>55</v>
      </c>
      <c r="D6" s="27" t="s">
        <v>56</v>
      </c>
      <c r="E6" s="75" t="s">
        <v>57</v>
      </c>
      <c r="F6" s="28" t="s">
        <v>58</v>
      </c>
    </row>
    <row r="7" customFormat="false" ht="15.75" hidden="false" customHeight="true" outlineLevel="0" collapsed="false">
      <c r="A7" s="70" t="s">
        <v>26</v>
      </c>
      <c r="B7" s="26" t="s">
        <v>59</v>
      </c>
      <c r="C7" s="74" t="s">
        <v>60</v>
      </c>
      <c r="D7" s="27" t="s">
        <v>61</v>
      </c>
      <c r="E7" s="75" t="s">
        <v>62</v>
      </c>
      <c r="F7" s="28" t="s">
        <v>58</v>
      </c>
    </row>
    <row r="8" customFormat="false" ht="15.75" hidden="false" customHeight="true" outlineLevel="0" collapsed="false">
      <c r="A8" s="72" t="s">
        <v>25</v>
      </c>
      <c r="B8" s="26" t="s">
        <v>54</v>
      </c>
      <c r="C8" s="74" t="s">
        <v>64</v>
      </c>
      <c r="D8" s="27" t="s">
        <v>59</v>
      </c>
      <c r="E8" s="75" t="s">
        <v>64</v>
      </c>
      <c r="F8" s="28" t="s">
        <v>61</v>
      </c>
    </row>
    <row r="9" customFormat="false" ht="15.75" hidden="false" customHeight="true" outlineLevel="0" collapsed="false">
      <c r="A9" s="70" t="s">
        <v>24</v>
      </c>
      <c r="B9" s="26" t="s">
        <v>67</v>
      </c>
      <c r="C9" s="74" t="s">
        <v>64</v>
      </c>
      <c r="D9" s="27" t="s">
        <v>68</v>
      </c>
      <c r="E9" s="75" t="s">
        <v>64</v>
      </c>
      <c r="F9" s="28" t="s">
        <v>54</v>
      </c>
    </row>
    <row r="11" customFormat="false" ht="19.5" hidden="false" customHeight="true" outlineLevel="0" collapsed="false">
      <c r="A11" s="32" t="s">
        <v>244</v>
      </c>
      <c r="B11" s="32"/>
      <c r="C11" s="32"/>
      <c r="D11" s="32"/>
      <c r="E11" s="32"/>
    </row>
    <row r="12" customFormat="false" ht="18" hidden="false" customHeight="true" outlineLevel="0" collapsed="false">
      <c r="A12" s="10" t="s">
        <v>245</v>
      </c>
      <c r="B12" s="10" t="s">
        <v>92</v>
      </c>
      <c r="C12" s="10" t="s">
        <v>93</v>
      </c>
      <c r="D12" s="10" t="s">
        <v>246</v>
      </c>
      <c r="E12" s="10" t="s">
        <v>247</v>
      </c>
    </row>
    <row r="13" customFormat="false" ht="15.75" hidden="false" customHeight="true" outlineLevel="0" collapsed="false">
      <c r="A13" s="11" t="s">
        <v>181</v>
      </c>
      <c r="B13" s="56" t="s">
        <v>24</v>
      </c>
      <c r="C13" s="11" t="s">
        <v>248</v>
      </c>
      <c r="D13" s="13" t="s">
        <v>249</v>
      </c>
      <c r="E13" s="11" t="s">
        <v>250</v>
      </c>
    </row>
    <row r="14" customFormat="false" ht="15.75" hidden="false" customHeight="true" outlineLevel="0" collapsed="false">
      <c r="A14" s="15" t="s">
        <v>102</v>
      </c>
      <c r="B14" s="43" t="s">
        <v>24</v>
      </c>
      <c r="C14" s="15" t="s">
        <v>251</v>
      </c>
      <c r="D14" s="17" t="s">
        <v>64</v>
      </c>
      <c r="E14" s="15" t="s">
        <v>252</v>
      </c>
    </row>
    <row r="15" customFormat="false" ht="15.75" hidden="false" customHeight="true" outlineLevel="0" collapsed="false">
      <c r="A15" s="11" t="s">
        <v>100</v>
      </c>
      <c r="B15" s="56" t="s">
        <v>24</v>
      </c>
      <c r="C15" s="11" t="s">
        <v>253</v>
      </c>
      <c r="D15" s="13" t="s">
        <v>64</v>
      </c>
      <c r="E15" s="11" t="s">
        <v>64</v>
      </c>
    </row>
    <row r="16" customFormat="false" ht="15.75" hidden="false" customHeight="true" outlineLevel="0" collapsed="false">
      <c r="A16" s="15" t="s">
        <v>254</v>
      </c>
      <c r="B16" s="43" t="s">
        <v>26</v>
      </c>
      <c r="C16" s="15" t="s">
        <v>255</v>
      </c>
      <c r="D16" s="17" t="s">
        <v>256</v>
      </c>
      <c r="E16" s="15" t="s">
        <v>257</v>
      </c>
    </row>
    <row r="17" customFormat="false" ht="15.75" hidden="false" customHeight="true" outlineLevel="0" collapsed="false">
      <c r="A17" s="11" t="s">
        <v>258</v>
      </c>
      <c r="B17" s="56" t="s">
        <v>26</v>
      </c>
      <c r="C17" s="11" t="s">
        <v>251</v>
      </c>
      <c r="D17" s="13" t="s">
        <v>64</v>
      </c>
      <c r="E17" s="11" t="s">
        <v>64</v>
      </c>
    </row>
    <row r="18" customFormat="false" ht="15.75" hidden="false" customHeight="true" outlineLevel="0" collapsed="false">
      <c r="A18" s="15" t="s">
        <v>259</v>
      </c>
      <c r="B18" s="43" t="s">
        <v>27</v>
      </c>
      <c r="C18" s="15" t="s">
        <v>260</v>
      </c>
      <c r="D18" s="17" t="s">
        <v>261</v>
      </c>
      <c r="E18" s="15" t="s">
        <v>262</v>
      </c>
    </row>
    <row r="19" customFormat="false" ht="15.75" hidden="false" customHeight="true" outlineLevel="0" collapsed="false">
      <c r="A19" s="11" t="s">
        <v>58</v>
      </c>
      <c r="B19" s="56" t="s">
        <v>27</v>
      </c>
      <c r="C19" s="11" t="s">
        <v>263</v>
      </c>
      <c r="D19" s="13" t="s">
        <v>264</v>
      </c>
      <c r="E19" s="11" t="s">
        <v>265</v>
      </c>
    </row>
    <row r="20" customFormat="false" ht="15.75" hidden="false" customHeight="true" outlineLevel="0" collapsed="false">
      <c r="A20" s="15" t="s">
        <v>56</v>
      </c>
      <c r="B20" s="43" t="s">
        <v>27</v>
      </c>
      <c r="C20" s="15" t="s">
        <v>260</v>
      </c>
      <c r="D20" s="17" t="s">
        <v>266</v>
      </c>
      <c r="E20" s="15" t="s">
        <v>64</v>
      </c>
    </row>
    <row r="21" customFormat="false" ht="15.75" hidden="false" customHeight="true" outlineLevel="0" collapsed="false">
      <c r="A21" s="11" t="s">
        <v>267</v>
      </c>
      <c r="B21" s="56" t="s">
        <v>25</v>
      </c>
      <c r="C21" s="11" t="s">
        <v>268</v>
      </c>
      <c r="D21" s="13" t="s">
        <v>64</v>
      </c>
      <c r="E21" s="11" t="s">
        <v>269</v>
      </c>
    </row>
    <row r="22" customFormat="false" ht="15.75" hidden="false" customHeight="true" outlineLevel="0" collapsed="false">
      <c r="A22" s="15" t="s">
        <v>270</v>
      </c>
      <c r="B22" s="43" t="s">
        <v>25</v>
      </c>
      <c r="C22" s="15" t="s">
        <v>251</v>
      </c>
      <c r="D22" s="17" t="s">
        <v>64</v>
      </c>
      <c r="E22" s="15" t="s">
        <v>64</v>
      </c>
    </row>
    <row r="23" customFormat="false" ht="15.75" hidden="false" customHeight="true" outlineLevel="0" collapsed="false">
      <c r="A23" s="11" t="s">
        <v>271</v>
      </c>
      <c r="B23" s="56" t="s">
        <v>25</v>
      </c>
      <c r="C23" s="11" t="s">
        <v>272</v>
      </c>
      <c r="D23" s="13" t="s">
        <v>64</v>
      </c>
      <c r="E23" s="11" t="s">
        <v>273</v>
      </c>
    </row>
    <row r="24" customFormat="false" ht="15.75" hidden="false" customHeight="true" outlineLevel="0" collapsed="false">
      <c r="A24" s="15" t="s">
        <v>179</v>
      </c>
      <c r="B24" s="43" t="s">
        <v>274</v>
      </c>
      <c r="C24" s="15" t="s">
        <v>275</v>
      </c>
      <c r="D24" s="17" t="s">
        <v>276</v>
      </c>
      <c r="E24" s="15" t="s">
        <v>277</v>
      </c>
    </row>
    <row r="25" customFormat="false" ht="15.75" hidden="false" customHeight="true" outlineLevel="0" collapsed="false">
      <c r="A25" s="11" t="s">
        <v>183</v>
      </c>
      <c r="B25" s="56" t="s">
        <v>274</v>
      </c>
      <c r="C25" s="11" t="s">
        <v>278</v>
      </c>
      <c r="D25" s="13" t="s">
        <v>279</v>
      </c>
      <c r="E25" s="11" t="s">
        <v>280</v>
      </c>
    </row>
    <row r="27" customFormat="false" ht="19.5" hidden="false" customHeight="true" outlineLevel="0" collapsed="false">
      <c r="A27" s="9" t="s">
        <v>281</v>
      </c>
      <c r="B27" s="9"/>
      <c r="C27" s="9"/>
      <c r="D27" s="9"/>
    </row>
    <row r="28" customFormat="false" ht="18" hidden="false" customHeight="true" outlineLevel="0" collapsed="false">
      <c r="A28" s="10" t="s">
        <v>282</v>
      </c>
      <c r="B28" s="10" t="s">
        <v>283</v>
      </c>
      <c r="C28" s="10" t="s">
        <v>247</v>
      </c>
      <c r="D28" s="10" t="s">
        <v>284</v>
      </c>
    </row>
    <row r="29" customFormat="false" ht="15.75" hidden="false" customHeight="true" outlineLevel="0" collapsed="false">
      <c r="A29" s="11" t="s">
        <v>181</v>
      </c>
      <c r="B29" s="13" t="s">
        <v>285</v>
      </c>
      <c r="C29" s="11" t="s">
        <v>286</v>
      </c>
      <c r="D29" s="13" t="n">
        <v>1</v>
      </c>
    </row>
    <row r="30" customFormat="false" ht="15.75" hidden="false" customHeight="true" outlineLevel="0" collapsed="false">
      <c r="A30" s="15" t="s">
        <v>287</v>
      </c>
      <c r="B30" s="17" t="s">
        <v>288</v>
      </c>
      <c r="C30" s="15" t="s">
        <v>289</v>
      </c>
      <c r="D30" s="17" t="n">
        <v>30</v>
      </c>
    </row>
    <row r="31" customFormat="false" ht="15.75" hidden="false" customHeight="true" outlineLevel="0" collapsed="false">
      <c r="A31" s="11" t="s">
        <v>98</v>
      </c>
      <c r="B31" s="13" t="s">
        <v>290</v>
      </c>
      <c r="C31" s="11" t="s">
        <v>291</v>
      </c>
      <c r="D31" s="13" t="n">
        <v>40</v>
      </c>
    </row>
    <row r="32" customFormat="false" ht="15.75" hidden="false" customHeight="true" outlineLevel="0" collapsed="false">
      <c r="A32" s="15" t="s">
        <v>292</v>
      </c>
      <c r="B32" s="17" t="s">
        <v>293</v>
      </c>
      <c r="C32" s="15" t="s">
        <v>294</v>
      </c>
      <c r="D32" s="17" t="n">
        <v>50</v>
      </c>
    </row>
    <row r="33" customFormat="false" ht="15.75" hidden="false" customHeight="true" outlineLevel="0" collapsed="false">
      <c r="A33" s="11" t="s">
        <v>295</v>
      </c>
      <c r="B33" s="13" t="s">
        <v>64</v>
      </c>
      <c r="C33" s="11" t="s">
        <v>296</v>
      </c>
      <c r="D33" s="13" t="n">
        <v>209</v>
      </c>
    </row>
  </sheetData>
  <mergeCells count="5">
    <mergeCell ref="A1:K1"/>
    <mergeCell ref="A2:K2"/>
    <mergeCell ref="A4:F4"/>
    <mergeCell ref="A11:E1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20"/>
  </cols>
  <sheetData>
    <row r="1" customFormat="false" ht="34.5" hidden="false" customHeight="true" outlineLevel="0" collapsed="false">
      <c r="A1" s="30" t="s">
        <v>297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true" outlineLevel="0" collapsed="false">
      <c r="A2" s="31" t="s">
        <v>298</v>
      </c>
      <c r="B2" s="31"/>
      <c r="C2" s="31"/>
      <c r="D2" s="31"/>
      <c r="E2" s="31"/>
      <c r="F2" s="31"/>
      <c r="G2" s="31"/>
      <c r="H2" s="31"/>
      <c r="I2" s="31"/>
    </row>
    <row r="4" customFormat="false" ht="18" hidden="false" customHeight="true" outlineLevel="0" collapsed="false">
      <c r="A4" s="25" t="s">
        <v>299</v>
      </c>
      <c r="B4" s="25" t="s">
        <v>300</v>
      </c>
      <c r="C4" s="25" t="s">
        <v>301</v>
      </c>
      <c r="D4" s="25" t="s">
        <v>302</v>
      </c>
      <c r="E4" s="25" t="s">
        <v>303</v>
      </c>
      <c r="F4" s="25" t="s">
        <v>304</v>
      </c>
      <c r="G4" s="25" t="s">
        <v>93</v>
      </c>
    </row>
    <row r="5" customFormat="false" ht="15" hidden="false" customHeight="true" outlineLevel="0" collapsed="false">
      <c r="A5" s="76" t="s">
        <v>305</v>
      </c>
      <c r="B5" s="77" t="s">
        <v>2</v>
      </c>
      <c r="C5" s="78" t="s">
        <v>306</v>
      </c>
      <c r="D5" s="78" t="s">
        <v>307</v>
      </c>
      <c r="E5" s="78" t="s">
        <v>308</v>
      </c>
      <c r="F5" s="77" t="s">
        <v>309</v>
      </c>
      <c r="G5" s="77" t="s">
        <v>310</v>
      </c>
    </row>
    <row r="6" customFormat="false" ht="15" hidden="false" customHeight="true" outlineLevel="0" collapsed="false">
      <c r="A6" s="76" t="s">
        <v>305</v>
      </c>
      <c r="B6" s="79" t="s">
        <v>3</v>
      </c>
      <c r="C6" s="80" t="s">
        <v>11</v>
      </c>
      <c r="D6" s="80" t="s">
        <v>311</v>
      </c>
      <c r="E6" s="80" t="s">
        <v>308</v>
      </c>
      <c r="F6" s="79" t="s">
        <v>309</v>
      </c>
      <c r="G6" s="79"/>
    </row>
    <row r="7" customFormat="false" ht="15" hidden="false" customHeight="true" outlineLevel="0" collapsed="false">
      <c r="A7" s="76" t="s">
        <v>305</v>
      </c>
      <c r="B7" s="77" t="s">
        <v>4</v>
      </c>
      <c r="C7" s="78" t="s">
        <v>12</v>
      </c>
      <c r="D7" s="78" t="s">
        <v>312</v>
      </c>
      <c r="E7" s="78" t="s">
        <v>313</v>
      </c>
      <c r="F7" s="77" t="s">
        <v>309</v>
      </c>
      <c r="G7" s="77"/>
    </row>
    <row r="8" customFormat="false" ht="15" hidden="false" customHeight="true" outlineLevel="0" collapsed="false">
      <c r="A8" s="81" t="s">
        <v>314</v>
      </c>
      <c r="B8" s="79" t="s">
        <v>6</v>
      </c>
      <c r="C8" s="80" t="s">
        <v>315</v>
      </c>
      <c r="D8" s="80" t="s">
        <v>316</v>
      </c>
      <c r="E8" s="80" t="s">
        <v>313</v>
      </c>
      <c r="F8" s="79" t="s">
        <v>317</v>
      </c>
      <c r="G8" s="79" t="s">
        <v>318</v>
      </c>
    </row>
    <row r="9" customFormat="false" ht="15" hidden="false" customHeight="true" outlineLevel="0" collapsed="false">
      <c r="A9" s="81" t="s">
        <v>314</v>
      </c>
      <c r="B9" s="77" t="s">
        <v>319</v>
      </c>
      <c r="C9" s="78" t="s">
        <v>320</v>
      </c>
      <c r="D9" s="78" t="s">
        <v>316</v>
      </c>
      <c r="E9" s="78" t="s">
        <v>313</v>
      </c>
      <c r="F9" s="77" t="s">
        <v>317</v>
      </c>
      <c r="G9" s="77"/>
    </row>
    <row r="10" customFormat="false" ht="15" hidden="false" customHeight="true" outlineLevel="0" collapsed="false">
      <c r="A10" s="81" t="s">
        <v>314</v>
      </c>
      <c r="B10" s="79" t="s">
        <v>321</v>
      </c>
      <c r="C10" s="80" t="s">
        <v>322</v>
      </c>
      <c r="D10" s="80" t="s">
        <v>316</v>
      </c>
      <c r="E10" s="80" t="s">
        <v>313</v>
      </c>
      <c r="F10" s="79" t="s">
        <v>317</v>
      </c>
      <c r="G10" s="79"/>
    </row>
    <row r="11" customFormat="false" ht="15" hidden="false" customHeight="true" outlineLevel="0" collapsed="false">
      <c r="A11" s="81" t="s">
        <v>314</v>
      </c>
      <c r="B11" s="77" t="s">
        <v>323</v>
      </c>
      <c r="C11" s="78" t="s">
        <v>82</v>
      </c>
      <c r="D11" s="78" t="s">
        <v>316</v>
      </c>
      <c r="E11" s="78" t="s">
        <v>313</v>
      </c>
      <c r="F11" s="77" t="s">
        <v>317</v>
      </c>
      <c r="G11" s="77"/>
    </row>
    <row r="12" customFormat="false" ht="15" hidden="false" customHeight="true" outlineLevel="0" collapsed="false">
      <c r="A12" s="81" t="s">
        <v>314</v>
      </c>
      <c r="B12" s="79" t="s">
        <v>324</v>
      </c>
      <c r="C12" s="80" t="s">
        <v>83</v>
      </c>
      <c r="D12" s="80" t="s">
        <v>316</v>
      </c>
      <c r="E12" s="80" t="s">
        <v>325</v>
      </c>
      <c r="F12" s="79" t="s">
        <v>326</v>
      </c>
      <c r="G12" s="79" t="s">
        <v>327</v>
      </c>
    </row>
    <row r="13" customFormat="false" ht="15" hidden="false" customHeight="true" outlineLevel="0" collapsed="false">
      <c r="A13" s="81" t="s">
        <v>314</v>
      </c>
      <c r="B13" s="77" t="s">
        <v>328</v>
      </c>
      <c r="C13" s="78" t="s">
        <v>81</v>
      </c>
      <c r="D13" s="78" t="s">
        <v>329</v>
      </c>
      <c r="E13" s="78" t="s">
        <v>330</v>
      </c>
      <c r="F13" s="77" t="s">
        <v>317</v>
      </c>
      <c r="G13" s="77"/>
    </row>
    <row r="14" customFormat="false" ht="15" hidden="false" customHeight="true" outlineLevel="0" collapsed="false">
      <c r="A14" s="81" t="s">
        <v>314</v>
      </c>
      <c r="B14" s="79" t="s">
        <v>331</v>
      </c>
      <c r="C14" s="80" t="s">
        <v>84</v>
      </c>
      <c r="D14" s="80" t="s">
        <v>329</v>
      </c>
      <c r="E14" s="80" t="s">
        <v>330</v>
      </c>
      <c r="F14" s="79" t="s">
        <v>317</v>
      </c>
      <c r="G14" s="79"/>
    </row>
    <row r="15" customFormat="false" ht="15" hidden="false" customHeight="true" outlineLevel="0" collapsed="false">
      <c r="A15" s="81" t="s">
        <v>314</v>
      </c>
      <c r="B15" s="77" t="s">
        <v>332</v>
      </c>
      <c r="C15" s="78" t="s">
        <v>87</v>
      </c>
      <c r="D15" s="78" t="s">
        <v>329</v>
      </c>
      <c r="E15" s="78" t="s">
        <v>330</v>
      </c>
      <c r="F15" s="77" t="s">
        <v>317</v>
      </c>
      <c r="G15" s="77"/>
    </row>
    <row r="16" customFormat="false" ht="15" hidden="false" customHeight="true" outlineLevel="0" collapsed="false">
      <c r="A16" s="81" t="s">
        <v>314</v>
      </c>
      <c r="B16" s="79" t="s">
        <v>333</v>
      </c>
      <c r="C16" s="80" t="s">
        <v>334</v>
      </c>
      <c r="D16" s="80" t="s">
        <v>329</v>
      </c>
      <c r="E16" s="80" t="s">
        <v>335</v>
      </c>
      <c r="F16" s="79" t="s">
        <v>317</v>
      </c>
      <c r="G16" s="79"/>
    </row>
    <row r="17" customFormat="false" ht="15" hidden="false" customHeight="true" outlineLevel="0" collapsed="false">
      <c r="A17" s="81" t="s">
        <v>314</v>
      </c>
      <c r="B17" s="77" t="s">
        <v>336</v>
      </c>
      <c r="C17" s="78" t="s">
        <v>337</v>
      </c>
      <c r="D17" s="78" t="s">
        <v>329</v>
      </c>
      <c r="E17" s="78" t="s">
        <v>313</v>
      </c>
      <c r="F17" s="77" t="s">
        <v>317</v>
      </c>
      <c r="G17" s="77" t="s">
        <v>338</v>
      </c>
    </row>
    <row r="18" customFormat="false" ht="15" hidden="false" customHeight="true" outlineLevel="0" collapsed="false">
      <c r="A18" s="81" t="s">
        <v>314</v>
      </c>
      <c r="B18" s="79" t="s">
        <v>339</v>
      </c>
      <c r="C18" s="80" t="s">
        <v>340</v>
      </c>
      <c r="D18" s="80" t="s">
        <v>329</v>
      </c>
      <c r="E18" s="80" t="s">
        <v>308</v>
      </c>
      <c r="F18" s="79" t="s">
        <v>317</v>
      </c>
      <c r="G18" s="79" t="s">
        <v>341</v>
      </c>
    </row>
    <row r="19" customFormat="false" ht="15" hidden="false" customHeight="true" outlineLevel="0" collapsed="false">
      <c r="A19" s="82" t="s">
        <v>50</v>
      </c>
      <c r="B19" s="77" t="s">
        <v>342</v>
      </c>
      <c r="C19" s="78" t="s">
        <v>120</v>
      </c>
      <c r="D19" s="78" t="s">
        <v>343</v>
      </c>
      <c r="E19" s="78" t="s">
        <v>344</v>
      </c>
      <c r="F19" s="77" t="s">
        <v>317</v>
      </c>
      <c r="G19" s="77" t="s">
        <v>121</v>
      </c>
    </row>
    <row r="20" customFormat="false" ht="15" hidden="false" customHeight="true" outlineLevel="0" collapsed="false">
      <c r="A20" s="82" t="s">
        <v>50</v>
      </c>
      <c r="B20" s="79" t="s">
        <v>345</v>
      </c>
      <c r="C20" s="80" t="s">
        <v>125</v>
      </c>
      <c r="D20" s="80" t="s">
        <v>343</v>
      </c>
      <c r="E20" s="80" t="s">
        <v>346</v>
      </c>
      <c r="F20" s="79" t="s">
        <v>317</v>
      </c>
      <c r="G20" s="79" t="s">
        <v>347</v>
      </c>
    </row>
    <row r="21" customFormat="false" ht="15" hidden="false" customHeight="true" outlineLevel="0" collapsed="false">
      <c r="A21" s="82" t="s">
        <v>50</v>
      </c>
      <c r="B21" s="77" t="s">
        <v>348</v>
      </c>
      <c r="C21" s="78" t="s">
        <v>17</v>
      </c>
      <c r="D21" s="78" t="s">
        <v>343</v>
      </c>
      <c r="E21" s="78" t="s">
        <v>313</v>
      </c>
      <c r="F21" s="77" t="s">
        <v>317</v>
      </c>
      <c r="G21" s="77" t="s">
        <v>349</v>
      </c>
    </row>
    <row r="22" customFormat="false" ht="15" hidden="false" customHeight="true" outlineLevel="0" collapsed="false">
      <c r="A22" s="82" t="s">
        <v>50</v>
      </c>
      <c r="B22" s="79" t="s">
        <v>350</v>
      </c>
      <c r="C22" s="80" t="s">
        <v>136</v>
      </c>
      <c r="D22" s="80" t="s">
        <v>343</v>
      </c>
      <c r="E22" s="80" t="s">
        <v>325</v>
      </c>
      <c r="F22" s="79" t="s">
        <v>326</v>
      </c>
      <c r="G22" s="79" t="s">
        <v>351</v>
      </c>
    </row>
    <row r="23" customFormat="false" ht="15" hidden="false" customHeight="true" outlineLevel="0" collapsed="false">
      <c r="A23" s="82" t="s">
        <v>50</v>
      </c>
      <c r="B23" s="77" t="s">
        <v>352</v>
      </c>
      <c r="C23" s="78" t="s">
        <v>353</v>
      </c>
      <c r="D23" s="78" t="s">
        <v>354</v>
      </c>
      <c r="E23" s="78" t="s">
        <v>355</v>
      </c>
      <c r="F23" s="77" t="s">
        <v>317</v>
      </c>
      <c r="G23" s="77" t="s">
        <v>356</v>
      </c>
    </row>
    <row r="24" customFormat="false" ht="15" hidden="false" customHeight="true" outlineLevel="0" collapsed="false">
      <c r="A24" s="82" t="s">
        <v>50</v>
      </c>
      <c r="B24" s="79" t="s">
        <v>357</v>
      </c>
      <c r="C24" s="80" t="s">
        <v>358</v>
      </c>
      <c r="D24" s="80" t="s">
        <v>354</v>
      </c>
      <c r="E24" s="80" t="s">
        <v>359</v>
      </c>
      <c r="F24" s="79" t="s">
        <v>317</v>
      </c>
      <c r="G24" s="79" t="s">
        <v>130</v>
      </c>
    </row>
    <row r="25" customFormat="false" ht="15" hidden="false" customHeight="true" outlineLevel="0" collapsed="false">
      <c r="A25" s="82" t="s">
        <v>50</v>
      </c>
      <c r="B25" s="77" t="s">
        <v>360</v>
      </c>
      <c r="C25" s="78" t="s">
        <v>150</v>
      </c>
      <c r="D25" s="78" t="s">
        <v>361</v>
      </c>
      <c r="E25" s="78" t="s">
        <v>313</v>
      </c>
      <c r="F25" s="77" t="s">
        <v>317</v>
      </c>
      <c r="G25" s="77"/>
    </row>
    <row r="26" customFormat="false" ht="15" hidden="false" customHeight="true" outlineLevel="0" collapsed="false">
      <c r="A26" s="82" t="s">
        <v>50</v>
      </c>
      <c r="B26" s="79" t="s">
        <v>362</v>
      </c>
      <c r="C26" s="80" t="s">
        <v>154</v>
      </c>
      <c r="D26" s="80" t="s">
        <v>361</v>
      </c>
      <c r="E26" s="80" t="s">
        <v>313</v>
      </c>
      <c r="F26" s="79" t="s">
        <v>317</v>
      </c>
      <c r="G26" s="79"/>
    </row>
    <row r="27" customFormat="false" ht="15" hidden="false" customHeight="true" outlineLevel="0" collapsed="false">
      <c r="A27" s="82" t="s">
        <v>50</v>
      </c>
      <c r="B27" s="77" t="s">
        <v>363</v>
      </c>
      <c r="C27" s="78" t="s">
        <v>364</v>
      </c>
      <c r="D27" s="78" t="s">
        <v>343</v>
      </c>
      <c r="E27" s="78" t="s">
        <v>313</v>
      </c>
      <c r="F27" s="77" t="s">
        <v>317</v>
      </c>
      <c r="G27" s="77"/>
    </row>
    <row r="28" customFormat="false" ht="15" hidden="false" customHeight="true" outlineLevel="0" collapsed="false">
      <c r="A28" s="82" t="s">
        <v>50</v>
      </c>
      <c r="B28" s="79" t="s">
        <v>365</v>
      </c>
      <c r="C28" s="80" t="s">
        <v>35</v>
      </c>
      <c r="D28" s="80" t="s">
        <v>361</v>
      </c>
      <c r="E28" s="80" t="s">
        <v>313</v>
      </c>
      <c r="F28" s="79" t="s">
        <v>317</v>
      </c>
      <c r="G28" s="79"/>
    </row>
    <row r="29" customFormat="false" ht="15" hidden="false" customHeight="true" outlineLevel="0" collapsed="false">
      <c r="A29" s="82" t="s">
        <v>50</v>
      </c>
      <c r="B29" s="77" t="s">
        <v>366</v>
      </c>
      <c r="C29" s="78" t="s">
        <v>36</v>
      </c>
      <c r="D29" s="78" t="s">
        <v>361</v>
      </c>
      <c r="E29" s="78" t="s">
        <v>313</v>
      </c>
      <c r="F29" s="77" t="s">
        <v>317</v>
      </c>
      <c r="G29" s="77"/>
    </row>
    <row r="30" customFormat="false" ht="15" hidden="false" customHeight="true" outlineLevel="0" collapsed="false">
      <c r="A30" s="82" t="s">
        <v>50</v>
      </c>
      <c r="B30" s="79" t="s">
        <v>367</v>
      </c>
      <c r="C30" s="80" t="s">
        <v>38</v>
      </c>
      <c r="D30" s="80" t="s">
        <v>361</v>
      </c>
      <c r="E30" s="80" t="s">
        <v>313</v>
      </c>
      <c r="F30" s="79" t="s">
        <v>317</v>
      </c>
      <c r="G30" s="79"/>
    </row>
    <row r="31" customFormat="false" ht="15" hidden="false" customHeight="true" outlineLevel="0" collapsed="false">
      <c r="A31" s="82" t="s">
        <v>50</v>
      </c>
      <c r="B31" s="77" t="s">
        <v>368</v>
      </c>
      <c r="C31" s="78" t="s">
        <v>39</v>
      </c>
      <c r="D31" s="78" t="s">
        <v>343</v>
      </c>
      <c r="E31" s="78" t="s">
        <v>313</v>
      </c>
      <c r="F31" s="77" t="s">
        <v>317</v>
      </c>
      <c r="G31" s="77"/>
    </row>
    <row r="32" customFormat="false" ht="15" hidden="false" customHeight="true" outlineLevel="0" collapsed="false">
      <c r="A32" s="82" t="s">
        <v>50</v>
      </c>
      <c r="B32" s="79" t="s">
        <v>369</v>
      </c>
      <c r="C32" s="80" t="s">
        <v>41</v>
      </c>
      <c r="D32" s="80" t="s">
        <v>343</v>
      </c>
      <c r="E32" s="80" t="s">
        <v>313</v>
      </c>
      <c r="F32" s="79" t="s">
        <v>317</v>
      </c>
      <c r="G32" s="79"/>
    </row>
    <row r="33" customFormat="false" ht="15" hidden="false" customHeight="true" outlineLevel="0" collapsed="false">
      <c r="A33" s="82" t="s">
        <v>50</v>
      </c>
      <c r="B33" s="77" t="s">
        <v>370</v>
      </c>
      <c r="C33" s="78" t="s">
        <v>42</v>
      </c>
      <c r="D33" s="78" t="s">
        <v>343</v>
      </c>
      <c r="E33" s="78" t="s">
        <v>313</v>
      </c>
      <c r="F33" s="77" t="s">
        <v>317</v>
      </c>
      <c r="G33" s="77"/>
    </row>
    <row r="34" customFormat="false" ht="15" hidden="false" customHeight="true" outlineLevel="0" collapsed="false">
      <c r="A34" s="83" t="s">
        <v>230</v>
      </c>
      <c r="B34" s="79" t="s">
        <v>371</v>
      </c>
      <c r="C34" s="80" t="s">
        <v>372</v>
      </c>
      <c r="D34" s="80" t="s">
        <v>329</v>
      </c>
      <c r="E34" s="80" t="s">
        <v>344</v>
      </c>
      <c r="F34" s="79" t="s">
        <v>317</v>
      </c>
      <c r="G34" s="79"/>
    </row>
    <row r="35" customFormat="false" ht="15" hidden="false" customHeight="true" outlineLevel="0" collapsed="false">
      <c r="A35" s="83" t="s">
        <v>230</v>
      </c>
      <c r="B35" s="77" t="s">
        <v>8</v>
      </c>
      <c r="C35" s="78" t="s">
        <v>16</v>
      </c>
      <c r="D35" s="78" t="s">
        <v>329</v>
      </c>
      <c r="E35" s="78" t="s">
        <v>313</v>
      </c>
      <c r="F35" s="77" t="s">
        <v>317</v>
      </c>
      <c r="G35" s="77" t="s">
        <v>373</v>
      </c>
    </row>
    <row r="36" customFormat="false" ht="15" hidden="false" customHeight="true" outlineLevel="0" collapsed="false">
      <c r="A36" s="83" t="s">
        <v>230</v>
      </c>
      <c r="B36" s="79" t="s">
        <v>374</v>
      </c>
      <c r="C36" s="80" t="s">
        <v>375</v>
      </c>
      <c r="D36" s="80" t="s">
        <v>329</v>
      </c>
      <c r="E36" s="80" t="s">
        <v>313</v>
      </c>
      <c r="F36" s="79" t="s">
        <v>317</v>
      </c>
      <c r="G36" s="79" t="s">
        <v>376</v>
      </c>
    </row>
    <row r="37" customFormat="false" ht="15" hidden="false" customHeight="true" outlineLevel="0" collapsed="false">
      <c r="A37" s="83" t="s">
        <v>230</v>
      </c>
      <c r="B37" s="77" t="s">
        <v>377</v>
      </c>
      <c r="C37" s="78" t="s">
        <v>378</v>
      </c>
      <c r="D37" s="78" t="s">
        <v>329</v>
      </c>
      <c r="E37" s="78" t="s">
        <v>379</v>
      </c>
      <c r="F37" s="77" t="s">
        <v>317</v>
      </c>
      <c r="G37" s="77" t="s">
        <v>206</v>
      </c>
    </row>
    <row r="38" customFormat="false" ht="15" hidden="false" customHeight="true" outlineLevel="0" collapsed="false">
      <c r="A38" s="83" t="s">
        <v>230</v>
      </c>
      <c r="B38" s="79" t="s">
        <v>380</v>
      </c>
      <c r="C38" s="80" t="s">
        <v>381</v>
      </c>
      <c r="D38" s="80" t="s">
        <v>329</v>
      </c>
      <c r="E38" s="80" t="s">
        <v>325</v>
      </c>
      <c r="F38" s="79" t="s">
        <v>326</v>
      </c>
      <c r="G38" s="79" t="s">
        <v>382</v>
      </c>
    </row>
    <row r="39" customFormat="false" ht="15" hidden="false" customHeight="true" outlineLevel="0" collapsed="false">
      <c r="A39" s="84" t="s">
        <v>383</v>
      </c>
      <c r="B39" s="77" t="s">
        <v>384</v>
      </c>
      <c r="C39" s="78" t="s">
        <v>385</v>
      </c>
      <c r="D39" s="78" t="s">
        <v>386</v>
      </c>
      <c r="E39" s="78" t="s">
        <v>344</v>
      </c>
      <c r="F39" s="77" t="s">
        <v>317</v>
      </c>
      <c r="G39" s="77"/>
    </row>
    <row r="40" customFormat="false" ht="15" hidden="false" customHeight="true" outlineLevel="0" collapsed="false">
      <c r="A40" s="84" t="s">
        <v>383</v>
      </c>
      <c r="B40" s="79" t="s">
        <v>387</v>
      </c>
      <c r="C40" s="80" t="s">
        <v>388</v>
      </c>
      <c r="D40" s="80" t="s">
        <v>386</v>
      </c>
      <c r="E40" s="80" t="s">
        <v>313</v>
      </c>
      <c r="F40" s="79" t="s">
        <v>317</v>
      </c>
      <c r="G40" s="79" t="s">
        <v>389</v>
      </c>
    </row>
    <row r="41" customFormat="false" ht="15" hidden="false" customHeight="true" outlineLevel="0" collapsed="false">
      <c r="A41" s="84" t="s">
        <v>383</v>
      </c>
      <c r="B41" s="77" t="s">
        <v>390</v>
      </c>
      <c r="C41" s="78" t="s">
        <v>391</v>
      </c>
      <c r="D41" s="78" t="s">
        <v>386</v>
      </c>
      <c r="E41" s="78" t="s">
        <v>308</v>
      </c>
      <c r="F41" s="77" t="s">
        <v>317</v>
      </c>
      <c r="G41" s="77" t="s">
        <v>37</v>
      </c>
    </row>
    <row r="42" customFormat="false" ht="15" hidden="false" customHeight="true" outlineLevel="0" collapsed="false">
      <c r="A42" s="84" t="s">
        <v>383</v>
      </c>
      <c r="B42" s="79" t="s">
        <v>392</v>
      </c>
      <c r="C42" s="80" t="s">
        <v>393</v>
      </c>
      <c r="D42" s="80" t="s">
        <v>386</v>
      </c>
      <c r="E42" s="80" t="s">
        <v>308</v>
      </c>
      <c r="F42" s="79" t="s">
        <v>317</v>
      </c>
      <c r="G42" s="79" t="s">
        <v>394</v>
      </c>
    </row>
    <row r="43" customFormat="false" ht="15" hidden="false" customHeight="true" outlineLevel="0" collapsed="false">
      <c r="A43" s="84" t="s">
        <v>383</v>
      </c>
      <c r="B43" s="77" t="s">
        <v>395</v>
      </c>
      <c r="C43" s="78" t="s">
        <v>396</v>
      </c>
      <c r="D43" s="78" t="s">
        <v>386</v>
      </c>
      <c r="E43" s="78" t="s">
        <v>308</v>
      </c>
      <c r="F43" s="77" t="s">
        <v>317</v>
      </c>
      <c r="G43" s="77" t="s">
        <v>397</v>
      </c>
    </row>
    <row r="44" customFormat="false" ht="15" hidden="false" customHeight="true" outlineLevel="0" collapsed="false">
      <c r="A44" s="84" t="s">
        <v>383</v>
      </c>
      <c r="B44" s="79" t="s">
        <v>398</v>
      </c>
      <c r="C44" s="80" t="s">
        <v>399</v>
      </c>
      <c r="D44" s="80" t="s">
        <v>386</v>
      </c>
      <c r="E44" s="80" t="s">
        <v>308</v>
      </c>
      <c r="F44" s="79" t="s">
        <v>317</v>
      </c>
      <c r="G44" s="79" t="s">
        <v>400</v>
      </c>
    </row>
    <row r="45" customFormat="false" ht="15" hidden="false" customHeight="true" outlineLevel="0" collapsed="false">
      <c r="A45" s="84" t="s">
        <v>383</v>
      </c>
      <c r="B45" s="77" t="s">
        <v>401</v>
      </c>
      <c r="C45" s="78" t="s">
        <v>402</v>
      </c>
      <c r="D45" s="78" t="s">
        <v>329</v>
      </c>
      <c r="E45" s="78" t="s">
        <v>313</v>
      </c>
      <c r="F45" s="77" t="s">
        <v>317</v>
      </c>
      <c r="G45" s="77" t="s">
        <v>403</v>
      </c>
    </row>
    <row r="46" customFormat="false" ht="15" hidden="false" customHeight="true" outlineLevel="0" collapsed="false">
      <c r="A46" s="84" t="s">
        <v>383</v>
      </c>
      <c r="B46" s="79" t="s">
        <v>404</v>
      </c>
      <c r="C46" s="80" t="s">
        <v>405</v>
      </c>
      <c r="D46" s="80" t="s">
        <v>329</v>
      </c>
      <c r="E46" s="80" t="s">
        <v>313</v>
      </c>
      <c r="F46" s="79" t="s">
        <v>317</v>
      </c>
      <c r="G46" s="79" t="s">
        <v>406</v>
      </c>
    </row>
    <row r="47" customFormat="false" ht="15" hidden="false" customHeight="true" outlineLevel="0" collapsed="false">
      <c r="A47" s="84" t="s">
        <v>383</v>
      </c>
      <c r="B47" s="77" t="s">
        <v>407</v>
      </c>
      <c r="C47" s="78" t="s">
        <v>408</v>
      </c>
      <c r="D47" s="78" t="s">
        <v>386</v>
      </c>
      <c r="E47" s="78" t="s">
        <v>313</v>
      </c>
      <c r="F47" s="77" t="s">
        <v>317</v>
      </c>
      <c r="G47" s="77" t="s">
        <v>409</v>
      </c>
    </row>
    <row r="48" customFormat="false" ht="15" hidden="false" customHeight="true" outlineLevel="0" collapsed="false">
      <c r="A48" s="84" t="s">
        <v>383</v>
      </c>
      <c r="B48" s="79" t="s">
        <v>410</v>
      </c>
      <c r="C48" s="80" t="s">
        <v>411</v>
      </c>
      <c r="D48" s="80" t="s">
        <v>386</v>
      </c>
      <c r="E48" s="80" t="s">
        <v>313</v>
      </c>
      <c r="F48" s="79" t="s">
        <v>317</v>
      </c>
      <c r="G48" s="79" t="s">
        <v>412</v>
      </c>
    </row>
    <row r="49" customFormat="false" ht="15" hidden="false" customHeight="true" outlineLevel="0" collapsed="false">
      <c r="A49" s="84" t="s">
        <v>383</v>
      </c>
      <c r="B49" s="77" t="s">
        <v>413</v>
      </c>
      <c r="C49" s="78" t="s">
        <v>236</v>
      </c>
      <c r="D49" s="78" t="s">
        <v>386</v>
      </c>
      <c r="E49" s="78" t="s">
        <v>313</v>
      </c>
      <c r="F49" s="77" t="s">
        <v>317</v>
      </c>
      <c r="G49" s="77"/>
    </row>
    <row r="50" customFormat="false" ht="15" hidden="false" customHeight="true" outlineLevel="0" collapsed="false">
      <c r="A50" s="84" t="s">
        <v>383</v>
      </c>
      <c r="B50" s="79" t="s">
        <v>414</v>
      </c>
      <c r="C50" s="80" t="s">
        <v>415</v>
      </c>
      <c r="D50" s="80" t="s">
        <v>329</v>
      </c>
      <c r="E50" s="80" t="s">
        <v>416</v>
      </c>
      <c r="F50" s="79" t="s">
        <v>326</v>
      </c>
      <c r="G50" s="79"/>
    </row>
    <row r="51" customFormat="false" ht="15" hidden="false" customHeight="true" outlineLevel="0" collapsed="false">
      <c r="A51" s="84" t="s">
        <v>383</v>
      </c>
      <c r="B51" s="77" t="s">
        <v>417</v>
      </c>
      <c r="C51" s="78" t="s">
        <v>418</v>
      </c>
      <c r="D51" s="78" t="s">
        <v>329</v>
      </c>
      <c r="E51" s="78" t="s">
        <v>325</v>
      </c>
      <c r="F51" s="77" t="s">
        <v>326</v>
      </c>
      <c r="G51" s="77" t="s">
        <v>419</v>
      </c>
    </row>
    <row r="52" customFormat="false" ht="15" hidden="false" customHeight="true" outlineLevel="0" collapsed="false">
      <c r="A52" s="85" t="s">
        <v>141</v>
      </c>
      <c r="B52" s="79" t="s">
        <v>263</v>
      </c>
      <c r="C52" s="80" t="s">
        <v>54</v>
      </c>
      <c r="D52" s="80" t="s">
        <v>64</v>
      </c>
      <c r="E52" s="80" t="s">
        <v>313</v>
      </c>
      <c r="F52" s="79" t="s">
        <v>317</v>
      </c>
      <c r="G52" s="79" t="s">
        <v>420</v>
      </c>
    </row>
    <row r="53" customFormat="false" ht="15" hidden="false" customHeight="true" outlineLevel="0" collapsed="false">
      <c r="A53" s="85" t="s">
        <v>141</v>
      </c>
      <c r="B53" s="77" t="s">
        <v>421</v>
      </c>
      <c r="C53" s="78" t="s">
        <v>59</v>
      </c>
      <c r="D53" s="78" t="s">
        <v>64</v>
      </c>
      <c r="E53" s="78" t="s">
        <v>313</v>
      </c>
      <c r="F53" s="77" t="s">
        <v>317</v>
      </c>
      <c r="G53" s="77" t="s">
        <v>422</v>
      </c>
    </row>
    <row r="54" customFormat="false" ht="15" hidden="false" customHeight="true" outlineLevel="0" collapsed="false">
      <c r="A54" s="85" t="s">
        <v>141</v>
      </c>
      <c r="B54" s="79" t="s">
        <v>423</v>
      </c>
      <c r="C54" s="80" t="s">
        <v>54</v>
      </c>
      <c r="D54" s="80" t="s">
        <v>64</v>
      </c>
      <c r="E54" s="80" t="s">
        <v>313</v>
      </c>
      <c r="F54" s="79" t="s">
        <v>317</v>
      </c>
      <c r="G54" s="79"/>
    </row>
    <row r="55" customFormat="false" ht="15" hidden="false" customHeight="true" outlineLevel="0" collapsed="false">
      <c r="A55" s="85" t="s">
        <v>141</v>
      </c>
      <c r="B55" s="77" t="s">
        <v>424</v>
      </c>
      <c r="C55" s="78" t="s">
        <v>67</v>
      </c>
      <c r="D55" s="78" t="s">
        <v>64</v>
      </c>
      <c r="E55" s="78" t="s">
        <v>313</v>
      </c>
      <c r="F55" s="77" t="s">
        <v>317</v>
      </c>
      <c r="G55" s="77"/>
    </row>
    <row r="56" customFormat="false" ht="15" hidden="false" customHeight="true" outlineLevel="0" collapsed="false">
      <c r="A56" s="85" t="s">
        <v>141</v>
      </c>
      <c r="B56" s="79" t="s">
        <v>425</v>
      </c>
      <c r="C56" s="80" t="s">
        <v>60</v>
      </c>
      <c r="D56" s="80" t="s">
        <v>343</v>
      </c>
      <c r="E56" s="80" t="s">
        <v>313</v>
      </c>
      <c r="F56" s="79" t="s">
        <v>317</v>
      </c>
      <c r="G56" s="79" t="s">
        <v>426</v>
      </c>
    </row>
    <row r="57" customFormat="false" ht="15" hidden="false" customHeight="true" outlineLevel="0" collapsed="false">
      <c r="A57" s="85" t="s">
        <v>141</v>
      </c>
      <c r="B57" s="77" t="s">
        <v>427</v>
      </c>
      <c r="C57" s="78" t="s">
        <v>62</v>
      </c>
      <c r="D57" s="78" t="s">
        <v>343</v>
      </c>
      <c r="E57" s="78" t="s">
        <v>313</v>
      </c>
      <c r="F57" s="77" t="s">
        <v>317</v>
      </c>
      <c r="G57" s="77" t="s">
        <v>428</v>
      </c>
    </row>
    <row r="58" customFormat="false" ht="15" hidden="false" customHeight="true" outlineLevel="0" collapsed="false">
      <c r="A58" s="85" t="s">
        <v>141</v>
      </c>
      <c r="B58" s="79" t="s">
        <v>429</v>
      </c>
      <c r="C58" s="80" t="s">
        <v>63</v>
      </c>
      <c r="D58" s="80" t="s">
        <v>343</v>
      </c>
      <c r="E58" s="80" t="s">
        <v>313</v>
      </c>
      <c r="F58" s="79" t="s">
        <v>317</v>
      </c>
      <c r="G58" s="79" t="s">
        <v>430</v>
      </c>
    </row>
    <row r="59" customFormat="false" ht="15" hidden="false" customHeight="true" outlineLevel="0" collapsed="false">
      <c r="A59" s="85" t="s">
        <v>141</v>
      </c>
      <c r="B59" s="77" t="s">
        <v>431</v>
      </c>
      <c r="C59" s="78" t="s">
        <v>55</v>
      </c>
      <c r="D59" s="78" t="s">
        <v>343</v>
      </c>
      <c r="E59" s="78" t="s">
        <v>313</v>
      </c>
      <c r="F59" s="77" t="s">
        <v>317</v>
      </c>
      <c r="G59" s="77" t="s">
        <v>426</v>
      </c>
    </row>
    <row r="60" customFormat="false" ht="15" hidden="false" customHeight="true" outlineLevel="0" collapsed="false">
      <c r="A60" s="85" t="s">
        <v>141</v>
      </c>
      <c r="B60" s="79" t="s">
        <v>432</v>
      </c>
      <c r="C60" s="80" t="s">
        <v>57</v>
      </c>
      <c r="D60" s="80" t="s">
        <v>343</v>
      </c>
      <c r="E60" s="80" t="s">
        <v>313</v>
      </c>
      <c r="F60" s="79" t="s">
        <v>317</v>
      </c>
      <c r="G60" s="79" t="s">
        <v>428</v>
      </c>
    </row>
    <row r="61" customFormat="false" ht="15" hidden="false" customHeight="true" outlineLevel="0" collapsed="false">
      <c r="A61" s="85" t="s">
        <v>141</v>
      </c>
      <c r="B61" s="77" t="s">
        <v>433</v>
      </c>
      <c r="C61" s="78" t="s">
        <v>57</v>
      </c>
      <c r="D61" s="78" t="s">
        <v>343</v>
      </c>
      <c r="E61" s="78" t="s">
        <v>313</v>
      </c>
      <c r="F61" s="77" t="s">
        <v>317</v>
      </c>
      <c r="G61" s="77" t="s">
        <v>434</v>
      </c>
    </row>
    <row r="62" customFormat="false" ht="15" hidden="false" customHeight="true" outlineLevel="0" collapsed="false">
      <c r="A62" s="85" t="s">
        <v>141</v>
      </c>
      <c r="B62" s="79" t="s">
        <v>435</v>
      </c>
      <c r="C62" s="80" t="s">
        <v>436</v>
      </c>
      <c r="D62" s="80" t="s">
        <v>437</v>
      </c>
      <c r="E62" s="80" t="s">
        <v>438</v>
      </c>
      <c r="F62" s="79" t="s">
        <v>317</v>
      </c>
      <c r="G62" s="79"/>
    </row>
    <row r="63" customFormat="false" ht="15" hidden="false" customHeight="true" outlineLevel="0" collapsed="false">
      <c r="A63" s="85" t="s">
        <v>141</v>
      </c>
      <c r="B63" s="77" t="s">
        <v>439</v>
      </c>
      <c r="C63" s="78" t="s">
        <v>440</v>
      </c>
      <c r="D63" s="78" t="s">
        <v>437</v>
      </c>
      <c r="E63" s="78" t="s">
        <v>313</v>
      </c>
      <c r="F63" s="77" t="s">
        <v>317</v>
      </c>
      <c r="G63" s="77" t="s">
        <v>441</v>
      </c>
    </row>
    <row r="64" customFormat="false" ht="15" hidden="false" customHeight="true" outlineLevel="0" collapsed="false">
      <c r="A64" s="85" t="s">
        <v>141</v>
      </c>
      <c r="B64" s="79" t="s">
        <v>442</v>
      </c>
      <c r="C64" s="80" t="s">
        <v>179</v>
      </c>
      <c r="D64" s="80" t="s">
        <v>64</v>
      </c>
      <c r="E64" s="80" t="s">
        <v>313</v>
      </c>
      <c r="F64" s="79" t="s">
        <v>317</v>
      </c>
      <c r="G64" s="79" t="s">
        <v>443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2026-03-19T11:00:21Z</dcterms:created>
  <dc:creator>openpyxl</dc:creator>
  <dc:description/>
  <dc:language>en-US</dc:language>
  <cp:lastModifiedBy/>
  <dcterms:modified xsi:type="dcterms:W3CDTF">2026-03-19T12:00:27Z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