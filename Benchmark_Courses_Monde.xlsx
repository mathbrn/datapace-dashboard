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hoquet\Downloads\"/>
    </mc:Choice>
  </mc:AlternateContent>
  <xr:revisionPtr revIDLastSave="0" documentId="13_ncr:1_{355FE0E5-072C-471E-855E-8604488255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" sheetId="4" r:id="rId1"/>
  </sheets>
  <definedNames>
    <definedName name="_xlnm._FilterDatabase" localSheetId="0" hidden="1">ALL!$A$2:$U$1024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4" l="1"/>
  <c r="Q6" i="4"/>
  <c r="Q7" i="4"/>
  <c r="Q9" i="4"/>
  <c r="Q10" i="4"/>
  <c r="Q12" i="4"/>
  <c r="Q13" i="4"/>
  <c r="Q14" i="4"/>
  <c r="Q16" i="4"/>
  <c r="Q18" i="4"/>
  <c r="Q20" i="4"/>
  <c r="Q21" i="4"/>
  <c r="Q22" i="4"/>
  <c r="Q24" i="4"/>
  <c r="Q30" i="4"/>
  <c r="Q32" i="4"/>
  <c r="Q34" i="4"/>
  <c r="Q35" i="4"/>
  <c r="Q37" i="4"/>
  <c r="Q38" i="4"/>
  <c r="Q39" i="4"/>
  <c r="Q43" i="4"/>
  <c r="Q46" i="4"/>
  <c r="Q47" i="4"/>
  <c r="Q49" i="4"/>
  <c r="Q52" i="4"/>
  <c r="Q56" i="4"/>
  <c r="Q61" i="4"/>
  <c r="Q63" i="4"/>
  <c r="Q67" i="4"/>
  <c r="Q68" i="4"/>
  <c r="Q72" i="4"/>
  <c r="Q76" i="4"/>
  <c r="Q78" i="4"/>
  <c r="Q80" i="4"/>
  <c r="Q83" i="4"/>
  <c r="Q87" i="4"/>
  <c r="Q88" i="4"/>
  <c r="Q90" i="4"/>
  <c r="Q94" i="4"/>
  <c r="Q101" i="4"/>
  <c r="Q111" i="4"/>
  <c r="Q113" i="4"/>
  <c r="Q117" i="4"/>
  <c r="Q118" i="4"/>
  <c r="Q119" i="4"/>
  <c r="Q123" i="4"/>
  <c r="Q124" i="4"/>
  <c r="Q126" i="4"/>
  <c r="Q130" i="4"/>
  <c r="Q131" i="4"/>
  <c r="Q133" i="4"/>
  <c r="Q134" i="4"/>
  <c r="Q135" i="4"/>
  <c r="Q138" i="4"/>
  <c r="Q140" i="4"/>
  <c r="Q141" i="4"/>
  <c r="Q142" i="4"/>
  <c r="Q143" i="4"/>
  <c r="Q145" i="4"/>
  <c r="Q149" i="4"/>
  <c r="Q152" i="4"/>
  <c r="Q153" i="4"/>
  <c r="Q165" i="4"/>
  <c r="Q169" i="4"/>
  <c r="Q184" i="4"/>
  <c r="Q185" i="4"/>
  <c r="Q187" i="4"/>
  <c r="Q198" i="4"/>
  <c r="Q199" i="4"/>
  <c r="Q200" i="4"/>
  <c r="Q201" i="4"/>
  <c r="Q202" i="4"/>
  <c r="Q218" i="4"/>
  <c r="Q226" i="4"/>
  <c r="Q228" i="4"/>
  <c r="Q240" i="4"/>
  <c r="Q244" i="4"/>
  <c r="Q246" i="4"/>
  <c r="Q254" i="4"/>
  <c r="Q256" i="4"/>
  <c r="Q258" i="4"/>
  <c r="Q261" i="4"/>
  <c r="Q264" i="4"/>
  <c r="Q266" i="4"/>
  <c r="Q270" i="4"/>
  <c r="Q272" i="4"/>
  <c r="Q277" i="4"/>
  <c r="Q278" i="4"/>
  <c r="Q279" i="4"/>
  <c r="Q280" i="4"/>
  <c r="Q286" i="4"/>
  <c r="Q299" i="4"/>
  <c r="Q302" i="4"/>
  <c r="Q303" i="4"/>
  <c r="Q305" i="4"/>
  <c r="Q313" i="4"/>
  <c r="Q314" i="4"/>
  <c r="Q325" i="4"/>
  <c r="Q326" i="4"/>
  <c r="Q338" i="4"/>
  <c r="Q346" i="4"/>
  <c r="Q347" i="4"/>
  <c r="Q353" i="4"/>
  <c r="Q361" i="4"/>
  <c r="Q362" i="4"/>
  <c r="Q369" i="4"/>
  <c r="Q370" i="4"/>
  <c r="Q377" i="4"/>
  <c r="Q386" i="4"/>
  <c r="Q391" i="4"/>
  <c r="Q393" i="4"/>
  <c r="Q395" i="4"/>
  <c r="Q403" i="4"/>
  <c r="Q409" i="4"/>
  <c r="Q413" i="4"/>
  <c r="Q414" i="4"/>
  <c r="Q417" i="4"/>
  <c r="Q418" i="4"/>
  <c r="Q427" i="4"/>
  <c r="Q430" i="4"/>
  <c r="Q435" i="4"/>
  <c r="Q444" i="4"/>
  <c r="Q445" i="4"/>
  <c r="Q446" i="4"/>
  <c r="Q466" i="4"/>
  <c r="Q467" i="4"/>
  <c r="Q471" i="4"/>
  <c r="Q472" i="4"/>
  <c r="Q476" i="4"/>
  <c r="Q479" i="4"/>
  <c r="Q484" i="4"/>
  <c r="Q486" i="4"/>
  <c r="Q506" i="4"/>
  <c r="Q512" i="4"/>
  <c r="Q521" i="4"/>
  <c r="Q531" i="4"/>
  <c r="Q533" i="4"/>
  <c r="Q549" i="4"/>
  <c r="Q566" i="4"/>
  <c r="Q567" i="4"/>
  <c r="Q571" i="4"/>
  <c r="Q572" i="4"/>
  <c r="Q598" i="4"/>
  <c r="Q604" i="4"/>
  <c r="Q608" i="4"/>
  <c r="Q611" i="4"/>
  <c r="Q613" i="4"/>
  <c r="Q619" i="4"/>
  <c r="Q624" i="4"/>
  <c r="Q655" i="4"/>
  <c r="Q661" i="4"/>
  <c r="Q672" i="4"/>
  <c r="Q675" i="4"/>
  <c r="Q702" i="4"/>
  <c r="Q712" i="4"/>
  <c r="Q715" i="4"/>
  <c r="Q729" i="4"/>
  <c r="Q730" i="4"/>
  <c r="Q732" i="4"/>
  <c r="Q735" i="4"/>
  <c r="Q738" i="4"/>
  <c r="Q742" i="4"/>
  <c r="Q743" i="4"/>
  <c r="Q972" i="4"/>
  <c r="Q943" i="4"/>
  <c r="Q882" i="4"/>
  <c r="Q944" i="4"/>
  <c r="Q883" i="4"/>
  <c r="Q928" i="4"/>
  <c r="Q939" i="4"/>
  <c r="Q884" i="4"/>
  <c r="Q885" i="4"/>
  <c r="Q946" i="4"/>
  <c r="Q886" i="4"/>
  <c r="Q997" i="4"/>
  <c r="Q999" i="4"/>
  <c r="Q929" i="4"/>
  <c r="Q930" i="4"/>
  <c r="Q887" i="4"/>
  <c r="Q888" i="4"/>
  <c r="Q889" i="4"/>
  <c r="Q931" i="4"/>
  <c r="Q890" i="4"/>
  <c r="Q1017" i="4"/>
  <c r="Q941" i="4"/>
  <c r="Q932" i="4"/>
  <c r="Q933" i="4"/>
  <c r="Q991" i="4"/>
  <c r="Q878" i="4"/>
  <c r="Q891" i="4"/>
  <c r="Q960" i="4"/>
  <c r="Q892" i="4"/>
  <c r="Q934" i="4"/>
  <c r="Q947" i="4"/>
  <c r="Q893" i="4"/>
  <c r="Q894" i="4"/>
  <c r="Q895" i="4"/>
  <c r="Q935" i="4"/>
  <c r="Q896" i="4"/>
  <c r="Q968" i="4"/>
  <c r="Q992" i="4"/>
  <c r="Q936" i="4"/>
  <c r="Q897" i="4"/>
  <c r="Q898" i="4"/>
  <c r="Q899" i="4"/>
  <c r="Q987" i="4"/>
  <c r="Q900" i="4"/>
  <c r="Q937" i="4"/>
  <c r="Q901" i="4"/>
  <c r="Q998" i="4"/>
  <c r="Q902" i="4"/>
  <c r="Q903" i="4"/>
  <c r="Q904" i="4"/>
  <c r="Q986" i="4"/>
  <c r="Q945" i="4"/>
  <c r="Q953" i="4"/>
  <c r="Q954" i="4"/>
  <c r="Q993" i="4"/>
  <c r="Q879" i="4"/>
  <c r="Q905" i="4"/>
  <c r="Q984" i="4"/>
  <c r="Q955" i="4"/>
  <c r="Q906" i="4"/>
  <c r="Q942" i="4"/>
  <c r="Q994" i="4"/>
  <c r="Q1000" i="4"/>
  <c r="Q990" i="4"/>
  <c r="Q877" i="4"/>
  <c r="Q979" i="4"/>
  <c r="Q980" i="4"/>
  <c r="Q981" i="4"/>
  <c r="Q907" i="4"/>
  <c r="Q963" i="4"/>
  <c r="Q908" i="4"/>
  <c r="Q909" i="4"/>
  <c r="Q965" i="4"/>
  <c r="Q910" i="4"/>
  <c r="Q962" i="4"/>
  <c r="Q911" i="4"/>
  <c r="Q912" i="4"/>
  <c r="Q913" i="4"/>
  <c r="Q914" i="4"/>
  <c r="Q952" i="4"/>
  <c r="Q915" i="4"/>
  <c r="Q916" i="4"/>
  <c r="Q958" i="4"/>
  <c r="Q917" i="4"/>
  <c r="Q966" i="4"/>
  <c r="Q995" i="4"/>
  <c r="Q973" i="4"/>
  <c r="Q969" i="4"/>
  <c r="Q971" i="4"/>
  <c r="Q956" i="4"/>
  <c r="Q938" i="4"/>
  <c r="Q949" i="4"/>
  <c r="Q957" i="4"/>
  <c r="Q876" i="4"/>
  <c r="Q970" i="4"/>
  <c r="Q950" i="4"/>
  <c r="Q961" i="4"/>
  <c r="Q983" i="4"/>
  <c r="Q967" i="4"/>
  <c r="Q1010" i="4"/>
  <c r="Q1011" i="4"/>
  <c r="Q951" i="4"/>
  <c r="Q1012" i="4"/>
  <c r="Q918" i="4"/>
  <c r="Q919" i="4"/>
  <c r="Q920" i="4"/>
  <c r="Q1013" i="4"/>
  <c r="Q1014" i="4"/>
  <c r="Q1015" i="4"/>
  <c r="Q921" i="4"/>
  <c r="Q922" i="4"/>
  <c r="Q989" i="4"/>
  <c r="Q923" i="4"/>
  <c r="Q1001" i="4"/>
  <c r="Q1002" i="4"/>
  <c r="Q881" i="4"/>
  <c r="Q982" i="4"/>
  <c r="Q948" i="4"/>
  <c r="Q924" i="4"/>
  <c r="Q925" i="4"/>
  <c r="Q964" i="4"/>
  <c r="Q1018" i="4"/>
  <c r="Q1016" i="4"/>
  <c r="Q975" i="4"/>
  <c r="Q976" i="4"/>
  <c r="Q977" i="4"/>
  <c r="Q940" i="4"/>
  <c r="Q880" i="4"/>
  <c r="Q1003" i="4"/>
  <c r="Q1004" i="4"/>
  <c r="Q988" i="4"/>
  <c r="Q1005" i="4"/>
  <c r="Q1006" i="4"/>
  <c r="Q1007" i="4"/>
  <c r="Q1008" i="4"/>
  <c r="Q1019" i="4"/>
  <c r="Q1009" i="4"/>
  <c r="Q996" i="4"/>
  <c r="Q875" i="4"/>
  <c r="Q959" i="4"/>
  <c r="Q1023" i="4"/>
  <c r="Q1024" i="4"/>
  <c r="Q927" i="4"/>
  <c r="Q926" i="4"/>
  <c r="Q978" i="4"/>
  <c r="Q974" i="4"/>
  <c r="Q1020" i="4"/>
  <c r="Q1021" i="4"/>
  <c r="Q1022" i="4"/>
  <c r="Q3" i="4"/>
  <c r="P734" i="4"/>
  <c r="Q734" i="4" s="1"/>
  <c r="P733" i="4"/>
  <c r="Q733" i="4" s="1"/>
  <c r="P728" i="4"/>
  <c r="Q728" i="4" s="1"/>
  <c r="P699" i="4"/>
  <c r="Q699" i="4" s="1"/>
  <c r="P572" i="4"/>
  <c r="P565" i="4"/>
  <c r="Q565" i="4" s="1"/>
  <c r="P532" i="4"/>
  <c r="Q532" i="4" s="1"/>
  <c r="P531" i="4"/>
  <c r="P526" i="4"/>
  <c r="Q526" i="4" s="1"/>
  <c r="P509" i="4"/>
  <c r="Q509" i="4" s="1"/>
  <c r="P484" i="4"/>
  <c r="P483" i="4"/>
  <c r="Q483" i="4" s="1"/>
  <c r="P476" i="4"/>
  <c r="P468" i="4"/>
  <c r="Q468" i="4" s="1"/>
  <c r="P463" i="4"/>
  <c r="Q463" i="4" s="1"/>
  <c r="P455" i="4"/>
  <c r="Q455" i="4" s="1"/>
  <c r="P449" i="4"/>
  <c r="Q449" i="4" s="1"/>
  <c r="P439" i="4"/>
  <c r="Q439" i="4" s="1"/>
  <c r="P431" i="4"/>
  <c r="Q431" i="4" s="1"/>
  <c r="P428" i="4"/>
  <c r="Q428" i="4" s="1"/>
  <c r="P419" i="4"/>
  <c r="Q419" i="4" s="1"/>
  <c r="P411" i="4"/>
  <c r="Q411" i="4" s="1"/>
  <c r="P409" i="4"/>
  <c r="P400" i="4"/>
  <c r="Q400" i="4" s="1"/>
  <c r="P382" i="4"/>
  <c r="Q382" i="4" s="1"/>
  <c r="P381" i="4"/>
  <c r="Q381" i="4" s="1"/>
  <c r="P372" i="4"/>
  <c r="Q372" i="4" s="1"/>
  <c r="P370" i="4"/>
  <c r="P366" i="4"/>
  <c r="Q366" i="4" s="1"/>
  <c r="P358" i="4"/>
  <c r="Q358" i="4" s="1"/>
  <c r="P356" i="4"/>
  <c r="Q356" i="4" s="1"/>
  <c r="P354" i="4"/>
  <c r="Q354" i="4" s="1"/>
  <c r="P341" i="4"/>
  <c r="Q341" i="4" s="1"/>
  <c r="P339" i="4"/>
  <c r="Q339" i="4" s="1"/>
  <c r="P337" i="4"/>
  <c r="Q337" i="4" s="1"/>
  <c r="P308" i="4"/>
  <c r="Q308" i="4" s="1"/>
  <c r="P300" i="4"/>
  <c r="Q300" i="4" s="1"/>
  <c r="P291" i="4"/>
  <c r="Q291" i="4" s="1"/>
  <c r="P290" i="4"/>
  <c r="Q290" i="4" s="1"/>
  <c r="P287" i="4"/>
  <c r="Q287" i="4" s="1"/>
  <c r="P285" i="4"/>
  <c r="Q285" i="4" s="1"/>
  <c r="P271" i="4"/>
  <c r="Q271" i="4" s="1"/>
  <c r="P269" i="4"/>
  <c r="Q269" i="4" s="1"/>
  <c r="P265" i="4"/>
  <c r="Q265" i="4" s="1"/>
  <c r="P239" i="4"/>
  <c r="Q239" i="4" s="1"/>
  <c r="P229" i="4"/>
  <c r="Q229" i="4" s="1"/>
  <c r="P226" i="4"/>
  <c r="P225" i="4"/>
  <c r="O225" i="4"/>
  <c r="P224" i="4"/>
  <c r="Q224" i="4" s="1"/>
  <c r="P216" i="4"/>
  <c r="Q216" i="4" s="1"/>
  <c r="P215" i="4"/>
  <c r="Q215" i="4" s="1"/>
  <c r="P214" i="4"/>
  <c r="Q214" i="4" s="1"/>
  <c r="P210" i="4"/>
  <c r="Q210" i="4" s="1"/>
  <c r="P207" i="4"/>
  <c r="Q207" i="4" s="1"/>
  <c r="R191" i="4"/>
  <c r="P191" i="4"/>
  <c r="Q191" i="4" s="1"/>
  <c r="P189" i="4"/>
  <c r="Q189" i="4" s="1"/>
  <c r="P176" i="4"/>
  <c r="Q176" i="4" s="1"/>
  <c r="P175" i="4"/>
  <c r="Q175" i="4" s="1"/>
  <c r="P171" i="4"/>
  <c r="Q171" i="4" s="1"/>
  <c r="P160" i="4"/>
  <c r="Q160" i="4" s="1"/>
  <c r="P157" i="4"/>
  <c r="Q157" i="4" s="1"/>
  <c r="P110" i="4"/>
  <c r="Q110" i="4" s="1"/>
  <c r="P100" i="4"/>
  <c r="Q100" i="4" s="1"/>
  <c r="P44" i="4"/>
  <c r="Q44" i="4" s="1"/>
  <c r="O25" i="4"/>
  <c r="Q25" i="4" s="1"/>
  <c r="Q225" i="4" l="1"/>
  <c r="P397" i="4" l="1"/>
  <c r="Q397" i="4" s="1"/>
  <c r="P674" i="4"/>
  <c r="Q674" i="4" s="1"/>
  <c r="P429" i="4"/>
  <c r="Q429" i="4" s="1"/>
  <c r="P741" i="4"/>
  <c r="Q741" i="4" s="1"/>
  <c r="P707" i="4"/>
  <c r="Q707" i="4" s="1"/>
  <c r="P559" i="4"/>
  <c r="Q559" i="4" s="1"/>
  <c r="P497" i="4"/>
  <c r="Q497" i="4" s="1"/>
  <c r="P727" i="4"/>
  <c r="Q727" i="4" s="1"/>
  <c r="P104" i="4"/>
  <c r="Q104" i="4" s="1"/>
  <c r="P726" i="4"/>
  <c r="Q726" i="4" s="1"/>
  <c r="P294" i="4"/>
  <c r="Q294" i="4" s="1"/>
  <c r="P223" i="4"/>
  <c r="Q223" i="4" s="1"/>
  <c r="P335" i="4"/>
  <c r="Q335" i="4" s="1"/>
  <c r="P237" i="4"/>
  <c r="Q237" i="4" s="1"/>
  <c r="P33" i="4"/>
  <c r="Q33" i="4" s="1"/>
  <c r="P236" i="4"/>
  <c r="Q236" i="4" s="1"/>
  <c r="P79" i="4"/>
  <c r="Q79" i="4" s="1"/>
  <c r="P706" i="4"/>
  <c r="Q706" i="4" s="1"/>
  <c r="P387" i="4" l="1"/>
  <c r="Q387" i="4" s="1"/>
  <c r="P209" i="4"/>
  <c r="Q209" i="4" s="1"/>
  <c r="P739" i="4"/>
  <c r="Q739" i="4" s="1"/>
  <c r="P643" i="4"/>
  <c r="Q643" i="4" s="1"/>
  <c r="P573" i="4"/>
  <c r="Q573" i="4" s="1"/>
  <c r="P380" i="4"/>
  <c r="Q380" i="4" s="1"/>
  <c r="P212" i="4"/>
  <c r="Q212" i="4" s="1"/>
  <c r="P60" i="4"/>
  <c r="Q60" i="4" s="1"/>
  <c r="P151" i="4"/>
  <c r="Q151" i="4" s="1"/>
  <c r="P717" i="4"/>
  <c r="Q717" i="4" s="1"/>
  <c r="P373" i="4"/>
  <c r="Q373" i="4" s="1"/>
  <c r="K588" i="4"/>
  <c r="J588" i="4"/>
  <c r="P689" i="4"/>
  <c r="Q689" i="4" s="1"/>
  <c r="P570" i="4"/>
  <c r="Q570" i="4" s="1"/>
  <c r="L166" i="4"/>
  <c r="K166" i="4"/>
  <c r="P389" i="4"/>
  <c r="Q389" i="4" s="1"/>
  <c r="P322" i="4"/>
  <c r="Q322" i="4" s="1"/>
  <c r="P725" i="4"/>
  <c r="Q725" i="4" s="1"/>
  <c r="P166" i="4" l="1"/>
  <c r="Q166" i="4" s="1"/>
  <c r="P588" i="4"/>
  <c r="Q588" i="4" s="1"/>
  <c r="P298" i="4"/>
  <c r="Q298" i="4" s="1"/>
  <c r="P857" i="4"/>
  <c r="Q857" i="4" s="1"/>
  <c r="P70" i="4"/>
  <c r="Q70" i="4" s="1"/>
  <c r="P784" i="4"/>
  <c r="Q784" i="4" s="1"/>
  <c r="P105" i="4"/>
  <c r="Q105" i="4" s="1"/>
  <c r="P858" i="4"/>
  <c r="Q858" i="4" s="1"/>
  <c r="P859" i="4"/>
  <c r="Q859" i="4" s="1"/>
  <c r="P860" i="4"/>
  <c r="Q860" i="4" s="1"/>
  <c r="P861" i="4"/>
  <c r="Q861" i="4" s="1"/>
  <c r="P839" i="4"/>
  <c r="Q839" i="4" s="1"/>
  <c r="P862" i="4"/>
  <c r="Q862" i="4" s="1"/>
  <c r="P863" i="4"/>
  <c r="Q863" i="4" s="1"/>
  <c r="P864" i="4"/>
  <c r="Q864" i="4" s="1"/>
  <c r="P865" i="4"/>
  <c r="Q865" i="4" s="1"/>
  <c r="P253" i="4"/>
  <c r="Q253" i="4" s="1"/>
  <c r="P193" i="4"/>
  <c r="Q193" i="4" s="1"/>
  <c r="P297" i="4"/>
  <c r="Q297" i="4" s="1"/>
  <c r="P866" i="4"/>
  <c r="Q866" i="4" s="1"/>
  <c r="P867" i="4"/>
  <c r="Q867" i="4" s="1"/>
  <c r="P868" i="4"/>
  <c r="Q868" i="4" s="1"/>
  <c r="P222" i="4"/>
  <c r="Q222" i="4" s="1"/>
  <c r="P750" i="4"/>
  <c r="Q750" i="4" s="1"/>
  <c r="P112" i="4"/>
  <c r="Q112" i="4" s="1"/>
  <c r="O55" i="4"/>
  <c r="P55" i="4" s="1"/>
  <c r="Q55" i="4" s="1"/>
  <c r="O65" i="4"/>
  <c r="P65" i="4" s="1"/>
  <c r="Q65" i="4" s="1"/>
  <c r="P740" i="4"/>
  <c r="Q740" i="4" s="1"/>
  <c r="P585" i="4"/>
  <c r="Q585" i="4" s="1"/>
  <c r="P399" i="4"/>
  <c r="Q399" i="4" s="1"/>
  <c r="L137" i="4"/>
  <c r="K137" i="4"/>
  <c r="P137" i="4" s="1"/>
  <c r="Q137" i="4" s="1"/>
  <c r="P69" i="4"/>
  <c r="Q69" i="4" s="1"/>
  <c r="P601" i="4"/>
  <c r="Q601" i="4" s="1"/>
  <c r="P543" i="4"/>
  <c r="Q543" i="4" s="1"/>
  <c r="P552" i="4"/>
  <c r="Q552" i="4" s="1"/>
  <c r="P708" i="4"/>
  <c r="Q708" i="4" s="1"/>
  <c r="P744" i="4"/>
  <c r="Q744" i="4" s="1"/>
  <c r="P634" i="4"/>
  <c r="Q634" i="4" s="1"/>
  <c r="P736" i="4"/>
  <c r="Q736" i="4" s="1"/>
  <c r="P638" i="4"/>
  <c r="Q638" i="4" s="1"/>
  <c r="P731" i="4"/>
  <c r="Q731" i="4" s="1"/>
  <c r="O985" i="4"/>
  <c r="Q985" i="4" s="1"/>
  <c r="P590" i="4"/>
  <c r="Q590" i="4" s="1"/>
  <c r="P102" i="4" l="1"/>
  <c r="Q102" i="4" s="1"/>
  <c r="P701" i="4"/>
  <c r="Q701" i="4" s="1"/>
  <c r="P146" i="4"/>
  <c r="Q146" i="4" s="1"/>
  <c r="P424" i="4"/>
  <c r="Q424" i="4" s="1"/>
  <c r="P416" i="4"/>
  <c r="Q416" i="4" s="1"/>
  <c r="P159" i="4"/>
  <c r="Q159" i="4" s="1"/>
  <c r="P307" i="4"/>
  <c r="Q307" i="4" s="1"/>
  <c r="P855" i="4" l="1"/>
  <c r="Q855" i="4" s="1"/>
  <c r="P648" i="4"/>
  <c r="P748" i="4"/>
  <c r="Q748" i="4" s="1"/>
  <c r="P593" i="4"/>
  <c r="P333" i="4"/>
  <c r="P872" i="4"/>
  <c r="Q872" i="4" s="1"/>
  <c r="P54" i="4"/>
  <c r="P681" i="4"/>
  <c r="P773" i="4"/>
  <c r="Q773" i="4" s="1"/>
  <c r="P310" i="4"/>
  <c r="P541" i="4"/>
  <c r="P845" i="4"/>
  <c r="Q845" i="4" s="1"/>
  <c r="P600" i="4"/>
  <c r="P778" i="4"/>
  <c r="Q778" i="4" s="1"/>
  <c r="P704" i="4"/>
  <c r="P779" i="4"/>
  <c r="Q779" i="4" s="1"/>
  <c r="P562" i="4"/>
  <c r="P616" i="4"/>
  <c r="P592" i="4"/>
  <c r="P540" i="4"/>
  <c r="P846" i="4"/>
  <c r="Q846" i="4" s="1"/>
  <c r="P679" i="4"/>
  <c r="P869" i="4"/>
  <c r="Q869" i="4" s="1"/>
  <c r="P503" i="4"/>
  <c r="P667" i="4"/>
  <c r="P830" i="4"/>
  <c r="Q830" i="4" s="1"/>
  <c r="P617" i="4"/>
  <c r="P668" i="4"/>
  <c r="P385" i="4"/>
  <c r="P205" i="4"/>
  <c r="P722" i="4"/>
  <c r="P831" i="4"/>
  <c r="Q831" i="4" s="1"/>
  <c r="P579" i="4"/>
  <c r="P591" i="4"/>
  <c r="P870" i="4"/>
  <c r="Q870" i="4" s="1"/>
  <c r="P645" i="4"/>
  <c r="P723" i="4"/>
  <c r="P596" i="4"/>
  <c r="P334" i="4"/>
  <c r="P274" i="4"/>
  <c r="P595" i="4"/>
  <c r="P806" i="4"/>
  <c r="Q806" i="4" s="1"/>
  <c r="P554" i="4"/>
  <c r="P594" i="4"/>
  <c r="P697" i="4"/>
  <c r="P501" i="4"/>
  <c r="P691" i="4"/>
  <c r="P809" i="4"/>
  <c r="Q809" i="4" s="1"/>
  <c r="P820" i="4"/>
  <c r="Q820" i="4" s="1"/>
  <c r="P810" i="4"/>
  <c r="Q810" i="4" s="1"/>
  <c r="P458" i="4"/>
  <c r="P811" i="4"/>
  <c r="Q811" i="4" s="1"/>
  <c r="P694" i="4"/>
  <c r="P692" i="4"/>
  <c r="P355" i="4"/>
  <c r="P332" i="4"/>
  <c r="P776" i="4"/>
  <c r="Q776" i="4" s="1"/>
  <c r="P871" i="4"/>
  <c r="Q871" i="4" s="1"/>
  <c r="P607" i="4"/>
  <c r="P680" i="4"/>
  <c r="P542" i="4"/>
  <c r="P660" i="4"/>
  <c r="P437" i="4"/>
  <c r="P309" i="4"/>
  <c r="P92" i="4"/>
  <c r="P709" i="4"/>
  <c r="P666" i="4"/>
  <c r="P614" i="4"/>
  <c r="P564" i="4"/>
  <c r="P838" i="4"/>
  <c r="Q838" i="4" s="1"/>
  <c r="P167" i="4"/>
  <c r="P330" i="4"/>
  <c r="P646" i="4"/>
  <c r="P847" i="4"/>
  <c r="Q847" i="4" s="1"/>
  <c r="P168" i="4"/>
  <c r="P771" i="4"/>
  <c r="Q771" i="4" s="1"/>
  <c r="P780" i="4"/>
  <c r="Q780" i="4" s="1"/>
  <c r="P426" i="4"/>
  <c r="P296" i="4"/>
  <c r="P17" i="4"/>
  <c r="P840" i="4"/>
  <c r="Q840" i="4" s="1"/>
  <c r="P841" i="4"/>
  <c r="Q841" i="4" s="1"/>
  <c r="P452" i="4"/>
  <c r="P650" i="4"/>
  <c r="P275" i="4"/>
  <c r="P724" i="4"/>
  <c r="P873" i="4"/>
  <c r="Q873" i="4" s="1"/>
  <c r="P649" i="4"/>
  <c r="P719" i="4"/>
  <c r="P874" i="4"/>
  <c r="Q874" i="4" s="1"/>
  <c r="P824" i="4"/>
  <c r="Q824" i="4" s="1"/>
  <c r="P659" i="4"/>
  <c r="P721" i="4"/>
  <c r="P498" i="4"/>
  <c r="P774" i="4"/>
  <c r="Q774" i="4" s="1"/>
  <c r="P575" i="4"/>
  <c r="P555" i="4"/>
  <c r="P835" i="4"/>
  <c r="Q835" i="4" s="1"/>
  <c r="P615" i="4"/>
  <c r="P695" i="4"/>
  <c r="P129" i="4"/>
  <c r="P716" i="4"/>
  <c r="P720" i="4"/>
  <c r="P99" i="4"/>
  <c r="P718" i="4"/>
  <c r="P493" i="4"/>
  <c r="P698" i="4"/>
  <c r="P770" i="4"/>
  <c r="Q770" i="4" s="1"/>
  <c r="P696" i="4"/>
  <c r="P792" i="4"/>
  <c r="Q792" i="4" s="1"/>
  <c r="P260" i="4"/>
  <c r="P832" i="4"/>
  <c r="Q832" i="4" s="1"/>
  <c r="P787" i="4"/>
  <c r="Q787" i="4" s="1"/>
  <c r="P796" i="4"/>
  <c r="Q796" i="4" s="1"/>
  <c r="P751" i="4"/>
  <c r="Q751" i="4" s="1"/>
  <c r="P777" i="4"/>
  <c r="Q777" i="4" s="1"/>
  <c r="P502" i="4"/>
  <c r="P745" i="4"/>
  <c r="Q745" i="4" s="1"/>
  <c r="P737" i="4"/>
  <c r="P647" i="4"/>
  <c r="P816" i="4"/>
  <c r="Q816" i="4" s="1"/>
  <c r="P295" i="4"/>
  <c r="P752" i="4"/>
  <c r="Q752" i="4" s="1"/>
  <c r="P781" i="4"/>
  <c r="Q781" i="4" s="1"/>
  <c r="P331" i="4"/>
  <c r="P499" i="4"/>
  <c r="P843" i="4"/>
  <c r="Q843" i="4" s="1"/>
  <c r="P808" i="4"/>
  <c r="Q808" i="4" s="1"/>
  <c r="P563" i="4"/>
  <c r="P833" i="4"/>
  <c r="Q833" i="4" s="1"/>
  <c r="P746" i="4"/>
  <c r="Q746" i="4" s="1"/>
  <c r="P848" i="4"/>
  <c r="Q848" i="4" s="1"/>
  <c r="P753" i="4"/>
  <c r="Q753" i="4" s="1"/>
  <c r="P821" i="4"/>
  <c r="Q821" i="4" s="1"/>
  <c r="P797" i="4"/>
  <c r="Q797" i="4" s="1"/>
  <c r="P795" i="4"/>
  <c r="Q795" i="4" s="1"/>
  <c r="P754" i="4"/>
  <c r="Q754" i="4" s="1"/>
  <c r="P798" i="4"/>
  <c r="Q798" i="4" s="1"/>
  <c r="P849" i="4"/>
  <c r="Q849" i="4" s="1"/>
  <c r="P755" i="4"/>
  <c r="Q755" i="4" s="1"/>
  <c r="P756" i="4"/>
  <c r="Q756" i="4" s="1"/>
  <c r="P782" i="4"/>
  <c r="Q782" i="4" s="1"/>
  <c r="P786" i="4"/>
  <c r="Q786" i="4" s="1"/>
  <c r="P850" i="4"/>
  <c r="Q850" i="4" s="1"/>
  <c r="P823" i="4"/>
  <c r="Q823" i="4" s="1"/>
  <c r="P827" i="4"/>
  <c r="Q827" i="4" s="1"/>
  <c r="P851" i="4"/>
  <c r="Q851" i="4" s="1"/>
  <c r="P852" i="4"/>
  <c r="Q852" i="4" s="1"/>
  <c r="P853" i="4"/>
  <c r="Q853" i="4" s="1"/>
  <c r="P783" i="4"/>
  <c r="Q783" i="4" s="1"/>
  <c r="P822" i="4"/>
  <c r="Q822" i="4" s="1"/>
  <c r="P568" i="4"/>
  <c r="P757" i="4"/>
  <c r="Q757" i="4" s="1"/>
  <c r="P788" i="4"/>
  <c r="Q788" i="4" s="1"/>
  <c r="P805" i="4"/>
  <c r="Q805" i="4" s="1"/>
  <c r="P794" i="4"/>
  <c r="Q794" i="4" s="1"/>
  <c r="P747" i="4"/>
  <c r="Q747" i="4" s="1"/>
  <c r="P791" i="4"/>
  <c r="Q791" i="4" s="1"/>
  <c r="P775" i="4"/>
  <c r="Q775" i="4" s="1"/>
  <c r="P813" i="4"/>
  <c r="Q813" i="4" s="1"/>
  <c r="P785" i="4"/>
  <c r="Q785" i="4" s="1"/>
  <c r="P825" i="4"/>
  <c r="Q825" i="4" s="1"/>
  <c r="P799" i="4"/>
  <c r="Q799" i="4" s="1"/>
  <c r="P749" i="4"/>
  <c r="Q749" i="4" s="1"/>
  <c r="P758" i="4"/>
  <c r="Q758" i="4" s="1"/>
  <c r="P800" i="4"/>
  <c r="Q800" i="4" s="1"/>
  <c r="P759" i="4"/>
  <c r="Q759" i="4" s="1"/>
  <c r="P814" i="4"/>
  <c r="Q814" i="4" s="1"/>
  <c r="P844" i="4"/>
  <c r="Q844" i="4" s="1"/>
  <c r="P760" i="4"/>
  <c r="Q760" i="4" s="1"/>
  <c r="P854" i="4"/>
  <c r="Q854" i="4" s="1"/>
  <c r="P761" i="4"/>
  <c r="Q761" i="4" s="1"/>
  <c r="P801" i="4"/>
  <c r="Q801" i="4" s="1"/>
  <c r="P762" i="4"/>
  <c r="Q762" i="4" s="1"/>
  <c r="P837" i="4"/>
  <c r="Q837" i="4" s="1"/>
  <c r="P772" i="4"/>
  <c r="Q772" i="4" s="1"/>
  <c r="P834" i="4"/>
  <c r="Q834" i="4" s="1"/>
  <c r="P802" i="4"/>
  <c r="Q802" i="4" s="1"/>
  <c r="P818" i="4"/>
  <c r="Q818" i="4" s="1"/>
  <c r="P828" i="4"/>
  <c r="Q828" i="4" s="1"/>
  <c r="P817" i="4"/>
  <c r="Q817" i="4" s="1"/>
  <c r="P693" i="4"/>
  <c r="P829" i="4"/>
  <c r="Q829" i="4" s="1"/>
  <c r="P763" i="4"/>
  <c r="Q763" i="4" s="1"/>
  <c r="P764" i="4"/>
  <c r="Q764" i="4" s="1"/>
  <c r="P539" i="4"/>
  <c r="P500" i="4"/>
  <c r="P789" i="4"/>
  <c r="Q789" i="4" s="1"/>
  <c r="P597" i="4"/>
  <c r="P120" i="4"/>
  <c r="P233" i="4"/>
  <c r="P235" i="4"/>
  <c r="P836" i="4"/>
  <c r="Q836" i="4" s="1"/>
  <c r="P765" i="4"/>
  <c r="Q765" i="4" s="1"/>
  <c r="P766" i="4"/>
  <c r="Q766" i="4" s="1"/>
  <c r="P767" i="4"/>
  <c r="Q767" i="4" s="1"/>
  <c r="P384" i="4"/>
  <c r="P453" i="4"/>
  <c r="P234" i="4"/>
  <c r="P768" i="4"/>
  <c r="Q768" i="4" s="1"/>
  <c r="P807" i="4"/>
  <c r="Q807" i="4" s="1"/>
  <c r="P769" i="4"/>
  <c r="Q769" i="4" s="1"/>
  <c r="P803" i="4"/>
  <c r="Q803" i="4" s="1"/>
  <c r="P856" i="4"/>
  <c r="Q856" i="4" s="1"/>
  <c r="P790" i="4"/>
  <c r="Q790" i="4" s="1"/>
  <c r="P812" i="4"/>
  <c r="Q812" i="4" s="1"/>
  <c r="P842" i="4"/>
  <c r="Q842" i="4" s="1"/>
  <c r="P815" i="4"/>
  <c r="Q815" i="4" s="1"/>
  <c r="P819" i="4"/>
  <c r="Q819" i="4" s="1"/>
  <c r="P826" i="4"/>
  <c r="Q826" i="4" s="1"/>
  <c r="P804" i="4"/>
  <c r="Q804" i="4" s="1"/>
  <c r="P793" i="4"/>
  <c r="Q793" i="4" s="1"/>
  <c r="P504" i="4"/>
  <c r="Q575" i="4" l="1"/>
  <c r="Q737" i="4"/>
  <c r="Q167" i="4"/>
  <c r="Q493" i="4"/>
  <c r="Q498" i="4"/>
  <c r="Q501" i="4"/>
  <c r="Q591" i="4"/>
  <c r="Q679" i="4"/>
  <c r="Q310" i="4"/>
  <c r="Q504" i="4"/>
  <c r="Q597" i="4"/>
  <c r="Q563" i="4"/>
  <c r="Q502" i="4"/>
  <c r="Q718" i="4"/>
  <c r="Q721" i="4"/>
  <c r="Q564" i="4"/>
  <c r="Q697" i="4"/>
  <c r="Q579" i="4"/>
  <c r="Q568" i="4"/>
  <c r="Q99" i="4"/>
  <c r="Q659" i="4"/>
  <c r="Q17" i="4"/>
  <c r="Q614" i="4"/>
  <c r="Q332" i="4"/>
  <c r="Q594" i="4"/>
  <c r="Q540" i="4"/>
  <c r="Q681" i="4"/>
  <c r="Q650" i="4"/>
  <c r="Q503" i="4"/>
  <c r="Q452" i="4"/>
  <c r="Q541" i="4"/>
  <c r="Q296" i="4"/>
  <c r="Q666" i="4"/>
  <c r="Q355" i="4"/>
  <c r="Q554" i="4"/>
  <c r="Q722" i="4"/>
  <c r="Q592" i="4"/>
  <c r="Q54" i="4"/>
  <c r="Q235" i="4"/>
  <c r="Q647" i="4"/>
  <c r="Q680" i="4"/>
  <c r="Q120" i="4"/>
  <c r="Q234" i="4"/>
  <c r="Q500" i="4"/>
  <c r="Q453" i="4"/>
  <c r="Q499" i="4"/>
  <c r="Q709" i="4"/>
  <c r="Q692" i="4"/>
  <c r="Q205" i="4"/>
  <c r="Q384" i="4"/>
  <c r="Q331" i="4"/>
  <c r="Q129" i="4"/>
  <c r="Q694" i="4"/>
  <c r="Q595" i="4"/>
  <c r="Q562" i="4"/>
  <c r="Q649" i="4"/>
  <c r="Q309" i="4"/>
  <c r="Q668" i="4"/>
  <c r="Q260" i="4"/>
  <c r="Q615" i="4"/>
  <c r="Q168" i="4"/>
  <c r="Q437" i="4"/>
  <c r="Q458" i="4"/>
  <c r="Q334" i="4"/>
  <c r="Q617" i="4"/>
  <c r="Q704" i="4"/>
  <c r="Q330" i="4"/>
  <c r="Q645" i="4"/>
  <c r="Q233" i="4"/>
  <c r="Q698" i="4"/>
  <c r="Q607" i="4"/>
  <c r="Q691" i="4"/>
  <c r="Q720" i="4"/>
  <c r="Q539" i="4"/>
  <c r="Q716" i="4"/>
  <c r="Q426" i="4"/>
  <c r="Q616" i="4"/>
  <c r="Q719" i="4"/>
  <c r="Q92" i="4"/>
  <c r="Q385" i="4"/>
  <c r="Q333" i="4"/>
  <c r="Q274" i="4"/>
  <c r="Q693" i="4"/>
  <c r="Q295" i="4"/>
  <c r="Q724" i="4"/>
  <c r="Q660" i="4"/>
  <c r="Q596" i="4"/>
  <c r="Q648" i="4"/>
  <c r="Q695" i="4"/>
  <c r="Q593" i="4"/>
  <c r="Q696" i="4"/>
  <c r="Q555" i="4"/>
  <c r="Q275" i="4"/>
  <c r="Q646" i="4"/>
  <c r="Q542" i="4"/>
  <c r="Q723" i="4"/>
  <c r="Q667" i="4"/>
  <c r="Q600" i="4"/>
  <c r="P283" i="4"/>
  <c r="Q283" i="4" s="1"/>
  <c r="P635" i="4"/>
  <c r="Q635" i="4" s="1"/>
  <c r="P630" i="4"/>
  <c r="Q630" i="4" s="1"/>
  <c r="P703" i="4"/>
  <c r="Q703" i="4" s="1"/>
  <c r="P578" i="4"/>
  <c r="Q578" i="4" s="1"/>
  <c r="P475" i="4"/>
  <c r="Q475" i="4" s="1"/>
  <c r="P378" i="4"/>
  <c r="Q378" i="4" s="1"/>
  <c r="P602" i="4"/>
  <c r="Q602" i="4" s="1"/>
  <c r="P89" i="4"/>
  <c r="Q89" i="4" s="1"/>
  <c r="P676" i="4"/>
  <c r="Q676" i="4" s="1"/>
  <c r="P456" i="4" l="1"/>
  <c r="Q456" i="4" s="1"/>
  <c r="K161" i="4"/>
  <c r="P161" i="4" s="1"/>
  <c r="Q161" i="4" s="1"/>
  <c r="P82" i="4"/>
  <c r="Q82" i="4" s="1"/>
  <c r="P289" i="4"/>
  <c r="Q289" i="4" s="1"/>
  <c r="P96" i="4"/>
  <c r="Q96" i="4" s="1"/>
  <c r="P323" i="4"/>
  <c r="Q323" i="4" s="1"/>
  <c r="P208" i="4"/>
  <c r="L162" i="4"/>
  <c r="K162" i="4"/>
  <c r="J162" i="4"/>
  <c r="M276" i="4"/>
  <c r="P276" i="4"/>
  <c r="Q276" i="4" s="1"/>
  <c r="O276" i="4"/>
  <c r="M248" i="4"/>
  <c r="L248" i="4"/>
  <c r="K248" i="4"/>
  <c r="P252" i="4"/>
  <c r="Q252" i="4" s="1"/>
  <c r="P221" i="4"/>
  <c r="Q221" i="4" s="1"/>
  <c r="P478" i="4"/>
  <c r="K122" i="4"/>
  <c r="P122" i="4" s="1"/>
  <c r="Q122" i="4" s="1"/>
  <c r="L259" i="4"/>
  <c r="K259" i="4"/>
  <c r="J259" i="4"/>
  <c r="J241" i="4"/>
  <c r="P155" i="4"/>
  <c r="Q155" i="4" s="1"/>
  <c r="M245" i="4"/>
  <c r="L245" i="4"/>
  <c r="K245" i="4"/>
  <c r="J245" i="4"/>
  <c r="P203" i="4"/>
  <c r="Q203" i="4" s="1"/>
  <c r="P197" i="4"/>
  <c r="Q197" i="4" s="1"/>
  <c r="P174" i="4"/>
  <c r="O182" i="4"/>
  <c r="Q182" i="4" s="1"/>
  <c r="K125" i="4"/>
  <c r="K304" i="4"/>
  <c r="J304" i="4"/>
  <c r="M159" i="4"/>
  <c r="L159" i="4"/>
  <c r="J159" i="4"/>
  <c r="P181" i="4"/>
  <c r="Q181" i="4" s="1"/>
  <c r="P238" i="4"/>
  <c r="Q238" i="4" s="1"/>
  <c r="L282" i="4"/>
  <c r="K282" i="4"/>
  <c r="J282" i="4"/>
  <c r="P368" i="4"/>
  <c r="P50" i="4"/>
  <c r="P257" i="4"/>
  <c r="P183" i="4"/>
  <c r="L180" i="4"/>
  <c r="K180" i="4"/>
  <c r="J180" i="4"/>
  <c r="P73" i="4"/>
  <c r="P147" i="4"/>
  <c r="L128" i="4"/>
  <c r="K128" i="4"/>
  <c r="J128" i="4"/>
  <c r="P374" i="4"/>
  <c r="Q374" i="4" s="1"/>
  <c r="P125" i="4"/>
  <c r="Q125" i="4" s="1"/>
  <c r="M125" i="4"/>
  <c r="L125" i="4"/>
  <c r="P97" i="4"/>
  <c r="Q97" i="4" s="1"/>
  <c r="O97" i="4"/>
  <c r="P74" i="4"/>
  <c r="P41" i="4"/>
  <c r="O192" i="4"/>
  <c r="P192" i="4"/>
  <c r="Q192" i="4" s="1"/>
  <c r="P23" i="4"/>
  <c r="P19" i="4"/>
  <c r="Q19" i="4" s="1"/>
  <c r="K8" i="4"/>
  <c r="J8" i="4"/>
  <c r="L8" i="4"/>
  <c r="P116" i="4"/>
  <c r="Q116" i="4" s="1"/>
  <c r="K115" i="4"/>
  <c r="O115" i="4"/>
  <c r="J115" i="4"/>
  <c r="P127" i="4"/>
  <c r="Q127" i="4" s="1"/>
  <c r="K109" i="4"/>
  <c r="J109" i="4"/>
  <c r="L108" i="4"/>
  <c r="J108" i="4"/>
  <c r="K108" i="4"/>
  <c r="J59" i="4"/>
  <c r="P59" i="4" s="1"/>
  <c r="P66" i="4"/>
  <c r="P51" i="4"/>
  <c r="J42" i="4"/>
  <c r="P42" i="4" s="1"/>
  <c r="P64" i="4"/>
  <c r="K95" i="4"/>
  <c r="O93" i="4"/>
  <c r="P93" i="4"/>
  <c r="Q93" i="4" l="1"/>
  <c r="Q66" i="4"/>
  <c r="Q183" i="4"/>
  <c r="Q257" i="4"/>
  <c r="Q59" i="4"/>
  <c r="Q50" i="4"/>
  <c r="Q368" i="4"/>
  <c r="Q174" i="4"/>
  <c r="Q23" i="4"/>
  <c r="Q478" i="4"/>
  <c r="Q208" i="4"/>
  <c r="Q147" i="4"/>
  <c r="Q41" i="4"/>
  <c r="Q73" i="4"/>
  <c r="Q64" i="4"/>
  <c r="Q74" i="4"/>
  <c r="Q42" i="4"/>
  <c r="Q51" i="4"/>
  <c r="P115" i="4"/>
  <c r="P304" i="4"/>
  <c r="P245" i="4"/>
  <c r="P128" i="4"/>
  <c r="P162" i="4"/>
  <c r="P248" i="4"/>
  <c r="P282" i="4"/>
  <c r="P180" i="4"/>
  <c r="P8" i="4"/>
  <c r="P164" i="4"/>
  <c r="Q164" i="4" s="1"/>
  <c r="K84" i="4"/>
  <c r="P84" i="4"/>
  <c r="Q84" i="4" s="1"/>
  <c r="J84" i="4"/>
  <c r="K77" i="4"/>
  <c r="J77" i="4"/>
  <c r="P77" i="4"/>
  <c r="Q77" i="4" s="1"/>
  <c r="M62" i="4"/>
  <c r="L62" i="4"/>
  <c r="K62" i="4"/>
  <c r="P75" i="4"/>
  <c r="P584" i="4"/>
  <c r="Q584" i="4" s="1"/>
  <c r="O31" i="4"/>
  <c r="P31" i="4"/>
  <c r="Q31" i="4" s="1"/>
  <c r="P5" i="4"/>
  <c r="Q5" i="4" s="1"/>
  <c r="L211" i="4"/>
  <c r="P53" i="4"/>
  <c r="M11" i="4"/>
  <c r="L11" i="4"/>
  <c r="J11" i="4"/>
  <c r="O178" i="4"/>
  <c r="P106" i="4"/>
  <c r="Q106" i="4" s="1"/>
  <c r="P379" i="4"/>
  <c r="O379" i="4"/>
  <c r="P27" i="4"/>
  <c r="Q27" i="4" s="1"/>
  <c r="M85" i="4"/>
  <c r="K85" i="4"/>
  <c r="P58" i="4"/>
  <c r="Q58" i="4" s="1"/>
  <c r="P28" i="4"/>
  <c r="P144" i="4"/>
  <c r="Q144" i="4" s="1"/>
  <c r="Q379" i="4" l="1"/>
  <c r="Q75" i="4"/>
  <c r="Q8" i="4"/>
  <c r="Q180" i="4"/>
  <c r="Q282" i="4"/>
  <c r="Q248" i="4"/>
  <c r="Q162" i="4"/>
  <c r="Q128" i="4"/>
  <c r="Q245" i="4"/>
  <c r="Q28" i="4"/>
  <c r="Q53" i="4"/>
  <c r="Q304" i="4"/>
  <c r="Q115" i="4"/>
  <c r="P62" i="4"/>
  <c r="P11" i="4"/>
  <c r="P85" i="4"/>
  <c r="P177" i="4"/>
  <c r="Q177" i="4" s="1"/>
  <c r="P440" i="4"/>
  <c r="Q440" i="4" s="1"/>
  <c r="P364" i="4"/>
  <c r="Q364" i="4" s="1"/>
  <c r="P288" i="4"/>
  <c r="Q288" i="4" s="1"/>
  <c r="P464" i="4"/>
  <c r="Q464" i="4" s="1"/>
  <c r="P394" i="4"/>
  <c r="Q394" i="4" s="1"/>
  <c r="P292" i="4"/>
  <c r="Q292" i="4" s="1"/>
  <c r="P425" i="4"/>
  <c r="Q425" i="4" s="1"/>
  <c r="P259" i="4"/>
  <c r="Q259" i="4" s="1"/>
  <c r="P631" i="4"/>
  <c r="Q631" i="4" s="1"/>
  <c r="P306" i="4"/>
  <c r="Q306" i="4" s="1"/>
  <c r="P656" i="4"/>
  <c r="Q656" i="4" s="1"/>
  <c r="P583" i="4"/>
  <c r="Q583" i="4" s="1"/>
  <c r="P622" i="4"/>
  <c r="Q622" i="4" s="1"/>
  <c r="P488" i="4"/>
  <c r="Q488" i="4" s="1"/>
  <c r="P510" i="4"/>
  <c r="Q510" i="4" s="1"/>
  <c r="P487" i="4"/>
  <c r="Q487" i="4" s="1"/>
  <c r="P402" i="4"/>
  <c r="Q402" i="4" s="1"/>
  <c r="P410" i="4"/>
  <c r="Q410" i="4" s="1"/>
  <c r="P535" i="4"/>
  <c r="Q535" i="4" s="1"/>
  <c r="P621" i="4"/>
  <c r="Q621" i="4" s="1"/>
  <c r="P684" i="4"/>
  <c r="Q684" i="4" s="1"/>
  <c r="Q85" i="4" l="1"/>
  <c r="Q11" i="4"/>
  <c r="Q62" i="4"/>
  <c r="P632" i="4"/>
  <c r="Q632" i="4" s="1"/>
  <c r="P263" i="4"/>
  <c r="Q263" i="4" s="1"/>
  <c r="P442" i="4"/>
  <c r="Q442" i="4" s="1"/>
  <c r="P470" i="4"/>
  <c r="Q470" i="4" s="1"/>
  <c r="P447" i="4"/>
  <c r="Q447" i="4" s="1"/>
  <c r="P241" i="4"/>
  <c r="Q241" i="4" s="1"/>
  <c r="P359" i="4"/>
  <c r="Q359" i="4" s="1"/>
  <c r="P255" i="4"/>
  <c r="Q255" i="4" s="1"/>
  <c r="P474" i="4"/>
  <c r="Q474" i="4" s="1"/>
  <c r="P481" i="4"/>
  <c r="Q481" i="4" s="1"/>
  <c r="P312" i="4"/>
  <c r="Q312" i="4" s="1"/>
  <c r="P340" i="4"/>
  <c r="Q340" i="4" s="1"/>
  <c r="P328" i="4"/>
  <c r="Q328" i="4" s="1"/>
  <c r="P673" i="4" l="1"/>
  <c r="Q673" i="4" s="1"/>
  <c r="P154" i="4"/>
  <c r="Q154" i="4" s="1"/>
  <c r="P620" i="4"/>
  <c r="Q620" i="4" s="1"/>
  <c r="P376" i="4"/>
  <c r="Q376" i="4" s="1"/>
  <c r="P639" i="4"/>
  <c r="Q639" i="4" s="1"/>
  <c r="P388" i="4"/>
  <c r="Q388" i="4" s="1"/>
  <c r="P628" i="4"/>
  <c r="Q628" i="4" s="1"/>
  <c r="P460" i="4"/>
  <c r="Q460" i="4" s="1"/>
  <c r="P537" i="4"/>
  <c r="Q537" i="4" s="1"/>
  <c r="P392" i="4"/>
  <c r="Q392" i="4" s="1"/>
  <c r="P665" i="4"/>
  <c r="Q665" i="4" s="1"/>
  <c r="P677" i="4"/>
  <c r="Q677" i="4" s="1"/>
  <c r="P623" i="4"/>
  <c r="Q623" i="4" s="1"/>
  <c r="P553" i="4"/>
  <c r="Q553" i="4" s="1"/>
  <c r="P515" i="4"/>
  <c r="Q515" i="4" s="1"/>
  <c r="P268" i="4"/>
  <c r="Q268" i="4" s="1"/>
  <c r="P669" i="4"/>
  <c r="Q669" i="4" s="1"/>
  <c r="P582" i="4"/>
  <c r="Q582" i="4" s="1"/>
  <c r="P404" i="4"/>
  <c r="Q404" i="4" s="1"/>
  <c r="P461" i="4"/>
  <c r="Q461" i="4" s="1"/>
  <c r="P686" i="4"/>
  <c r="Q686" i="4" s="1"/>
  <c r="P687" i="4"/>
  <c r="Q687" i="4" s="1"/>
  <c r="P469" i="4"/>
  <c r="Q469" i="4" s="1"/>
  <c r="P396" i="4"/>
  <c r="Q396" i="4" s="1"/>
  <c r="P548" i="4"/>
  <c r="Q548" i="4" s="1"/>
  <c r="P311" i="4"/>
  <c r="Q311" i="4" s="1"/>
  <c r="P557" i="4"/>
  <c r="Q557" i="4" s="1"/>
  <c r="P536" i="4"/>
  <c r="Q536" i="4" s="1"/>
  <c r="P432" i="4"/>
  <c r="Q432" i="4" s="1"/>
  <c r="P538" i="4"/>
  <c r="Q538" i="4" s="1"/>
  <c r="P421" i="4"/>
  <c r="Q421" i="4" s="1"/>
  <c r="P530" i="4"/>
  <c r="Q530" i="4" s="1"/>
  <c r="P242" i="4"/>
  <c r="Q242" i="4" s="1"/>
  <c r="P589" i="4"/>
  <c r="Q589" i="4" s="1"/>
  <c r="P423" i="4"/>
  <c r="Q423" i="4" s="1"/>
  <c r="P342" i="4"/>
  <c r="Q342" i="4" s="1"/>
  <c r="P375" i="4"/>
  <c r="Q375" i="4" s="1"/>
  <c r="P349" i="4"/>
  <c r="Q349" i="4" s="1"/>
  <c r="P227" i="4"/>
  <c r="Q227" i="4" s="1"/>
  <c r="P319" i="4"/>
  <c r="Q319" i="4" s="1"/>
  <c r="P343" i="4"/>
  <c r="Q343" i="4" s="1"/>
  <c r="P671" i="4"/>
  <c r="Q671" i="4" s="1"/>
  <c r="P561" i="4"/>
  <c r="Q561" i="4" s="1"/>
  <c r="P517" i="4"/>
  <c r="Q517" i="4" s="1"/>
  <c r="P550" i="4"/>
  <c r="Q550" i="4" s="1"/>
  <c r="P448" i="4"/>
  <c r="Q448" i="4" s="1"/>
  <c r="P612" i="4"/>
  <c r="Q612" i="4" s="1"/>
  <c r="P618" i="4"/>
  <c r="Q618" i="4" s="1"/>
  <c r="P473" i="4"/>
  <c r="Q473" i="4" s="1"/>
  <c r="P558" i="4"/>
  <c r="Q558" i="4" s="1"/>
  <c r="P507" i="4"/>
  <c r="Q507" i="4" s="1"/>
  <c r="P457" i="4"/>
  <c r="Q457" i="4" s="1"/>
  <c r="P360" i="4"/>
  <c r="Q360" i="4" s="1"/>
  <c r="P273" i="4"/>
  <c r="Q273" i="4" s="1"/>
  <c r="P551" i="4"/>
  <c r="Q551" i="4" s="1"/>
  <c r="P262" i="4"/>
  <c r="Q262" i="4" s="1"/>
  <c r="P344" i="4"/>
  <c r="Q344" i="4" s="1"/>
  <c r="P170" i="4" l="1"/>
  <c r="P420" i="4"/>
  <c r="Q420" i="4" s="1"/>
  <c r="P412" i="4"/>
  <c r="Q412" i="4" s="1"/>
  <c r="P367" i="4"/>
  <c r="Q367" i="4" s="1"/>
  <c r="P577" i="4"/>
  <c r="Q577" i="4" s="1"/>
  <c r="P511" i="4"/>
  <c r="Q511" i="4" s="1"/>
  <c r="P700" i="4"/>
  <c r="Q700" i="4" s="1"/>
  <c r="P121" i="4"/>
  <c r="Q121" i="4" s="1"/>
  <c r="P670" i="4"/>
  <c r="Q670" i="4" s="1"/>
  <c r="P556" i="4"/>
  <c r="Q556" i="4" s="1"/>
  <c r="P284" i="4"/>
  <c r="Q284" i="4" s="1"/>
  <c r="P371" i="4"/>
  <c r="Q371" i="4" s="1"/>
  <c r="P71" i="4"/>
  <c r="Q71" i="4" s="1"/>
  <c r="P652" i="4"/>
  <c r="Q652" i="4" s="1"/>
  <c r="P508" i="4"/>
  <c r="Q508" i="4" s="1"/>
  <c r="P528" i="4"/>
  <c r="Q528" i="4" s="1"/>
  <c r="P408" i="4"/>
  <c r="Q408" i="4" s="1"/>
  <c r="P267" i="4"/>
  <c r="Q267" i="4" s="1"/>
  <c r="P158" i="4"/>
  <c r="Q158" i="4" s="1"/>
  <c r="P95" i="4" l="1"/>
  <c r="Q95" i="4" s="1"/>
  <c r="P407" i="4"/>
  <c r="Q407" i="4" s="1"/>
  <c r="P451" i="4"/>
  <c r="Q451" i="4" s="1"/>
  <c r="P523" i="4"/>
  <c r="Q523" i="4" s="1"/>
  <c r="P664" i="4" l="1"/>
  <c r="Q664" i="4" s="1"/>
  <c r="P505" i="4"/>
  <c r="Q505" i="4" s="1"/>
  <c r="P658" i="4"/>
  <c r="Q658" i="4" s="1"/>
  <c r="P586" i="4"/>
  <c r="Q586" i="4" s="1"/>
  <c r="P651" i="4"/>
  <c r="Q651" i="4" s="1"/>
  <c r="P711" i="4"/>
  <c r="Q711" i="4" s="1"/>
  <c r="P179" i="4"/>
  <c r="Q179" i="4" s="1"/>
  <c r="P547" i="4"/>
  <c r="Q547" i="4" s="1"/>
  <c r="P357" i="4" l="1"/>
  <c r="Q357" i="4" s="1"/>
  <c r="P653" i="4"/>
  <c r="Q653" i="4" s="1"/>
  <c r="P45" i="4"/>
  <c r="Q45" i="4" s="1"/>
  <c r="P683" i="4"/>
  <c r="Q683" i="4" s="1"/>
  <c r="P139" i="4"/>
  <c r="Q139" i="4" s="1"/>
  <c r="P576" i="4"/>
  <c r="Q576" i="4" s="1"/>
  <c r="P98" i="4"/>
  <c r="Q98" i="4" s="1"/>
  <c r="P682" i="4" l="1"/>
  <c r="Q682" i="4" s="1"/>
  <c r="P525" i="4"/>
  <c r="Q525" i="4" s="1"/>
  <c r="P599" i="4"/>
  <c r="Q599" i="4" s="1"/>
  <c r="P230" i="4"/>
  <c r="Q230" i="4" s="1"/>
  <c r="P194" i="4"/>
  <c r="Q194" i="4" s="1"/>
  <c r="P519" i="4"/>
  <c r="Q519" i="4" s="1"/>
  <c r="P640" i="4"/>
  <c r="Q640" i="4" s="1"/>
  <c r="P710" i="4"/>
  <c r="Q710" i="4" s="1"/>
  <c r="P678" i="4"/>
  <c r="Q678" i="4" s="1"/>
  <c r="P605" i="4"/>
  <c r="Q605" i="4" s="1"/>
  <c r="P513" i="4"/>
  <c r="Q513" i="4" s="1"/>
  <c r="P690" i="4"/>
  <c r="Q690" i="4" s="1"/>
  <c r="P688" i="4"/>
  <c r="Q688" i="4" s="1"/>
  <c r="P518" i="4"/>
  <c r="Q518" i="4" s="1"/>
  <c r="P574" i="4"/>
  <c r="Q574" i="4" s="1"/>
  <c r="P529" i="4"/>
  <c r="Q529" i="4" s="1"/>
  <c r="P626" i="4"/>
  <c r="Q626" i="4" s="1"/>
  <c r="P642" i="4"/>
  <c r="Q642" i="4" s="1"/>
  <c r="P657" i="4"/>
  <c r="Q657" i="4" s="1"/>
  <c r="P633" i="4"/>
  <c r="Q633" i="4" s="1"/>
  <c r="P713" i="4"/>
  <c r="Q713" i="4" s="1"/>
  <c r="P644" i="4"/>
  <c r="Q644" i="4" s="1"/>
  <c r="P636" i="4"/>
  <c r="Q636" i="4" s="1"/>
  <c r="P629" i="4"/>
  <c r="Q629" i="4" s="1"/>
  <c r="P654" i="4"/>
  <c r="P491" i="4"/>
  <c r="Q491" i="4" s="1"/>
  <c r="P560" i="4"/>
  <c r="Q560" i="4" s="1"/>
  <c r="P663" i="4"/>
  <c r="Q663" i="4" s="1"/>
  <c r="P609" i="4"/>
  <c r="Q609" i="4" s="1"/>
  <c r="P489" i="4"/>
  <c r="P641" i="4"/>
  <c r="Q641" i="4" s="1"/>
  <c r="P492" i="4"/>
  <c r="Q492" i="4" s="1"/>
  <c r="P527" i="4"/>
  <c r="Q527" i="4" s="1"/>
  <c r="P603" i="4"/>
  <c r="Q603" i="4" s="1"/>
  <c r="P662" i="4"/>
  <c r="Q662" i="4" s="1"/>
  <c r="P390" i="4"/>
  <c r="Q390" i="4" s="1"/>
  <c r="P477" i="4"/>
  <c r="Q477" i="4" s="1"/>
  <c r="P580" i="4"/>
  <c r="Q580" i="4" s="1"/>
  <c r="P443" i="4"/>
  <c r="Q443" i="4" s="1"/>
  <c r="P516" i="4"/>
  <c r="Q516" i="4" s="1"/>
  <c r="P436" i="4"/>
  <c r="Q436" i="4" s="1"/>
  <c r="P454" i="4"/>
  <c r="Q454" i="4" s="1"/>
  <c r="P546" i="4"/>
  <c r="Q546" i="4" s="1"/>
  <c r="P415" i="4"/>
  <c r="Q415" i="4" s="1"/>
  <c r="P351" i="4"/>
  <c r="Q351" i="4" s="1"/>
  <c r="P441" i="4"/>
  <c r="Q441" i="4" s="1"/>
  <c r="P350" i="4"/>
  <c r="Q350" i="4" s="1"/>
  <c r="P544" i="4"/>
  <c r="Q544" i="4" s="1"/>
  <c r="P462" i="4"/>
  <c r="Q462" i="4" s="1"/>
  <c r="P178" i="4"/>
  <c r="Q178" i="4" s="1"/>
  <c r="P57" i="4"/>
  <c r="Q57" i="4" s="1"/>
  <c r="P91" i="4" l="1"/>
  <c r="Q91" i="4" s="1"/>
  <c r="P36" i="4"/>
  <c r="Q36" i="4" s="1"/>
  <c r="P625" i="4" l="1"/>
  <c r="Q625" i="4" s="1"/>
  <c r="P514" i="4"/>
  <c r="Q514" i="4" s="1"/>
  <c r="P581" i="4"/>
  <c r="Q581" i="4" s="1"/>
  <c r="P495" i="4"/>
  <c r="Q495" i="4" s="1"/>
  <c r="P545" i="4"/>
  <c r="Q545" i="4" s="1"/>
  <c r="P480" i="4"/>
  <c r="Q480" i="4" s="1"/>
  <c r="P450" i="4"/>
  <c r="Q450" i="4" s="1"/>
  <c r="P524" i="4"/>
  <c r="Q524" i="4" s="1"/>
  <c r="P496" i="4"/>
  <c r="Q496" i="4" s="1"/>
  <c r="P433" i="4"/>
  <c r="Q433" i="4" s="1"/>
  <c r="P705" i="4"/>
  <c r="Q705" i="4" s="1"/>
  <c r="P534" i="4"/>
  <c r="Q534" i="4" s="1"/>
  <c r="P520" i="4"/>
  <c r="Q520" i="4" s="1"/>
  <c r="P163" i="4"/>
  <c r="Q163" i="4" s="1"/>
  <c r="P587" i="4"/>
  <c r="Q587" i="4" s="1"/>
  <c r="P398" i="4"/>
  <c r="Q398" i="4" s="1"/>
  <c r="P249" i="4"/>
  <c r="Q249" i="4" s="1"/>
  <c r="P186" i="4"/>
  <c r="Q186" i="4" s="1"/>
  <c r="P251" i="4"/>
  <c r="Q251" i="4" s="1"/>
  <c r="P569" i="4"/>
  <c r="Q569" i="4" s="1"/>
  <c r="P247" i="4"/>
  <c r="Q247" i="4" s="1"/>
  <c r="P336" i="4"/>
  <c r="Q336" i="4" s="1"/>
  <c r="P459" i="4"/>
  <c r="Q459" i="4" s="1"/>
  <c r="P321" i="4"/>
  <c r="Q321" i="4" s="1"/>
  <c r="P363" i="4"/>
  <c r="Q363" i="4" s="1"/>
  <c r="P606" i="4"/>
  <c r="Q606" i="4" s="1"/>
  <c r="O170" i="4"/>
  <c r="Q170" i="4" s="1"/>
  <c r="P627" i="4"/>
  <c r="Q627" i="4" s="1"/>
  <c r="P107" i="4"/>
  <c r="Q107" i="4" s="1"/>
  <c r="P522" i="4"/>
  <c r="Q522" i="4" s="1"/>
  <c r="P352" i="4"/>
  <c r="Q352" i="4" s="1"/>
  <c r="P281" i="4"/>
  <c r="Q281" i="4" s="1"/>
  <c r="P401" i="4"/>
  <c r="Q401" i="4" s="1"/>
  <c r="P190" i="4"/>
  <c r="Q190" i="4" s="1"/>
  <c r="P434" i="4"/>
  <c r="Q434" i="4" s="1"/>
  <c r="P231" i="4"/>
  <c r="Q231" i="4" s="1"/>
  <c r="P219" i="4"/>
  <c r="Q219" i="4" s="1"/>
  <c r="P26" i="4"/>
  <c r="Q26" i="4" s="1"/>
  <c r="P482" i="4"/>
  <c r="Q482" i="4" s="1"/>
  <c r="P40" i="4"/>
  <c r="Q40" i="4" s="1"/>
  <c r="P383" i="4"/>
  <c r="Q383" i="4" s="1"/>
  <c r="P318" i="4"/>
  <c r="Q318" i="4" s="1"/>
  <c r="P438" i="4"/>
  <c r="Q438" i="4" s="1"/>
  <c r="P494" i="4"/>
  <c r="Q494" i="4" s="1"/>
  <c r="P220" i="4"/>
  <c r="Q220" i="4" s="1"/>
  <c r="P406" i="4"/>
  <c r="Q406" i="4" s="1"/>
  <c r="P485" i="4"/>
  <c r="Q485" i="4" s="1"/>
  <c r="P213" i="4"/>
  <c r="Q213" i="4" s="1"/>
  <c r="P232" i="4"/>
  <c r="Q232" i="4" s="1"/>
  <c r="P188" i="4"/>
  <c r="Q188" i="4" s="1"/>
  <c r="P195" i="4"/>
  <c r="Q195" i="4" s="1"/>
  <c r="P204" i="4"/>
  <c r="Q204" i="4" s="1"/>
  <c r="P81" i="4"/>
  <c r="Q81" i="4" s="1"/>
  <c r="P172" i="4"/>
  <c r="Q172" i="4" s="1"/>
  <c r="P48" i="4"/>
  <c r="Q48" i="4" s="1"/>
  <c r="P86" i="4"/>
  <c r="Q86" i="4" s="1"/>
  <c r="P206" i="4"/>
  <c r="Q206" i="4" s="1"/>
  <c r="P301" i="4"/>
  <c r="Q301" i="4" s="1"/>
  <c r="P348" i="4"/>
  <c r="Q348" i="4" s="1"/>
  <c r="P243" i="4"/>
  <c r="Q243" i="4" s="1"/>
  <c r="P714" i="4"/>
  <c r="Q714" i="4" s="1"/>
  <c r="P490" i="4"/>
  <c r="Q490" i="4" s="1"/>
  <c r="P365" i="4"/>
  <c r="Q365" i="4" s="1"/>
  <c r="P217" i="4"/>
  <c r="Q217" i="4" s="1"/>
  <c r="P422" i="4"/>
  <c r="Q422" i="4" s="1"/>
  <c r="P405" i="4"/>
  <c r="Q405" i="4" s="1"/>
  <c r="P317" i="4"/>
  <c r="Q317" i="4" s="1"/>
  <c r="P320" i="4"/>
  <c r="Q320" i="4" s="1"/>
  <c r="P293" i="4"/>
  <c r="Q293" i="4" s="1"/>
  <c r="P637" i="4"/>
  <c r="Q637" i="4" s="1"/>
  <c r="P316" i="4"/>
  <c r="Q316" i="4" s="1"/>
  <c r="P324" i="4"/>
  <c r="Q324" i="4" s="1"/>
  <c r="P345" i="4"/>
  <c r="Q345" i="4" s="1"/>
  <c r="P173" i="4"/>
  <c r="Q173" i="4" s="1"/>
  <c r="P329" i="4"/>
  <c r="Q329" i="4" s="1"/>
  <c r="P250" i="4"/>
  <c r="Q250" i="4" s="1"/>
  <c r="P685" i="4"/>
  <c r="Q685" i="4" s="1"/>
  <c r="P150" i="4"/>
  <c r="Q150" i="4" s="1"/>
  <c r="P156" i="4"/>
  <c r="Q156" i="4" s="1"/>
  <c r="P132" i="4"/>
  <c r="Q132" i="4" s="1"/>
  <c r="P327" i="4"/>
  <c r="Q327" i="4" s="1"/>
  <c r="P610" i="4"/>
  <c r="Q610" i="4" s="1"/>
  <c r="P315" i="4"/>
  <c r="Q315" i="4" s="1"/>
  <c r="P211" i="4"/>
  <c r="Q211" i="4" s="1"/>
  <c r="P465" i="4"/>
  <c r="Q465" i="4" s="1"/>
  <c r="P29" i="4"/>
  <c r="Q29" i="4" s="1"/>
  <c r="P114" i="4"/>
  <c r="Q114" i="4" s="1"/>
  <c r="P196" i="4"/>
  <c r="Q196" i="4" s="1"/>
  <c r="P103" i="4"/>
  <c r="Q103" i="4" s="1"/>
  <c r="P148" i="4"/>
  <c r="Q148" i="4" s="1"/>
  <c r="P15" i="4"/>
  <c r="Q15" i="4" s="1"/>
  <c r="P136" i="4"/>
  <c r="Q136" i="4" s="1"/>
  <c r="P108" i="4"/>
  <c r="Q108" i="4" s="1"/>
  <c r="P109" i="4"/>
  <c r="Q109" i="4" s="1"/>
  <c r="O489" i="4"/>
  <c r="Q489" i="4" s="1"/>
  <c r="O654" i="4"/>
  <c r="Q654" i="4" s="1"/>
</calcChain>
</file>

<file path=xl/sharedStrings.xml><?xml version="1.0" encoding="utf-8"?>
<sst xmlns="http://schemas.openxmlformats.org/spreadsheetml/2006/main" count="8739" uniqueCount="2468">
  <si>
    <t>Formats</t>
  </si>
  <si>
    <t>Pays</t>
  </si>
  <si>
    <t>Zone géographique</t>
  </si>
  <si>
    <t>Ville</t>
  </si>
  <si>
    <t>Événement</t>
  </si>
  <si>
    <t>Date</t>
  </si>
  <si>
    <t>Organisateurs</t>
  </si>
  <si>
    <t>Modèles</t>
  </si>
  <si>
    <t>Type</t>
  </si>
  <si>
    <t>M</t>
  </si>
  <si>
    <t>Semi</t>
  </si>
  <si>
    <t>10k</t>
  </si>
  <si>
    <t>5km</t>
  </si>
  <si>
    <t>Autres</t>
  </si>
  <si>
    <t>date création</t>
  </si>
  <si>
    <t xml:space="preserve">Commentaires </t>
  </si>
  <si>
    <t>Australie</t>
  </si>
  <si>
    <t>Océanie</t>
  </si>
  <si>
    <t>Sydney</t>
  </si>
  <si>
    <t>City2Surf</t>
  </si>
  <si>
    <t>IRONMAN</t>
  </si>
  <si>
    <t xml:space="preserve">Propriété </t>
  </si>
  <si>
    <t>Route</t>
  </si>
  <si>
    <t>14km</t>
  </si>
  <si>
    <t>Inde</t>
  </si>
  <si>
    <t>Asie</t>
  </si>
  <si>
    <t>Mumbai</t>
  </si>
  <si>
    <t>Mumbai Marathon</t>
  </si>
  <si>
    <t xml:space="preserve">Procam International </t>
  </si>
  <si>
    <t>6 ; 4 ; 1.6</t>
  </si>
  <si>
    <t>Etats-Unis</t>
  </si>
  <si>
    <t>Amérique du Nord</t>
  </si>
  <si>
    <t>New York</t>
  </si>
  <si>
    <t>NYC Marathon</t>
  </si>
  <si>
    <t>NY Road Runners</t>
  </si>
  <si>
    <t>X</t>
  </si>
  <si>
    <t>Hong Kong</t>
  </si>
  <si>
    <t>Hong Kong Marathon</t>
  </si>
  <si>
    <t>Association</t>
  </si>
  <si>
    <t>Royaume-Uni</t>
  </si>
  <si>
    <t>Europe</t>
  </si>
  <si>
    <t>Londres</t>
  </si>
  <si>
    <t>London Marathon</t>
  </si>
  <si>
    <t>London Marathon Events</t>
  </si>
  <si>
    <t>France</t>
  </si>
  <si>
    <t>Paris</t>
  </si>
  <si>
    <t>Schneider Electric Marathon de Paris</t>
  </si>
  <si>
    <t>A.S.O.</t>
  </si>
  <si>
    <t>Prestation</t>
  </si>
  <si>
    <t>Brésil</t>
  </si>
  <si>
    <t>Amérique du Sud</t>
  </si>
  <si>
    <t xml:space="preserve">Rio de Janeiro </t>
  </si>
  <si>
    <t>Maratona Do Rio</t>
  </si>
  <si>
    <t>dream factory &amp; spiridon</t>
  </si>
  <si>
    <t>Chicago</t>
  </si>
  <si>
    <t>Chicago Marathon</t>
  </si>
  <si>
    <t xml:space="preserve">Sao Paulo </t>
  </si>
  <si>
    <t xml:space="preserve">Sao Silvestre de Sao Paulo </t>
  </si>
  <si>
    <t>Vega Sports</t>
  </si>
  <si>
    <t xml:space="preserve">Prorpiété : Fundacao Casper-Libero </t>
  </si>
  <si>
    <t>Grèce</t>
  </si>
  <si>
    <t>Athènes</t>
  </si>
  <si>
    <t>SEGAS</t>
  </si>
  <si>
    <t>Suisse</t>
  </si>
  <si>
    <t>Genève</t>
  </si>
  <si>
    <t>Course de l'escalade</t>
  </si>
  <si>
    <t>Allemagne</t>
  </si>
  <si>
    <t>Berlin</t>
  </si>
  <si>
    <t>BMW Marathon de Berlin</t>
  </si>
  <si>
    <t>SCC Events</t>
  </si>
  <si>
    <t>aide infront</t>
  </si>
  <si>
    <t>Hoka Semi de Paris</t>
  </si>
  <si>
    <t>Pays-Bas</t>
  </si>
  <si>
    <t>Amsterdam</t>
  </si>
  <si>
    <t>Amsterdam marathon</t>
  </si>
  <si>
    <t>Le Champion</t>
  </si>
  <si>
    <t xml:space="preserve">Newcastle </t>
  </si>
  <si>
    <t>Great North Run</t>
  </si>
  <si>
    <t>Great Run Company</t>
  </si>
  <si>
    <t xml:space="preserve">Great Run company : 9 events en UK </t>
  </si>
  <si>
    <t>Ethiopie</t>
  </si>
  <si>
    <t>Afrique</t>
  </si>
  <si>
    <t>Addis-Abeba</t>
  </si>
  <si>
    <t>Great Ethiopan Run</t>
  </si>
  <si>
    <t xml:space="preserve">Great Ethipian Run </t>
  </si>
  <si>
    <t>Suède</t>
  </si>
  <si>
    <t>Goteborg</t>
  </si>
  <si>
    <t>GöteborgsVarvet</t>
  </si>
  <si>
    <t>Goteborg Athletic Association</t>
  </si>
  <si>
    <t>Boulder</t>
  </si>
  <si>
    <t>BolderBoulder</t>
  </si>
  <si>
    <t>Atlanta</t>
  </si>
  <si>
    <t>Peachtree Road Race</t>
  </si>
  <si>
    <t>Atlanta Track Club</t>
  </si>
  <si>
    <t>Colombie</t>
  </si>
  <si>
    <t>Bogota</t>
  </si>
  <si>
    <t xml:space="preserve">Media maraton de Bogota </t>
  </si>
  <si>
    <t>Correcaminos of Colombia</t>
  </si>
  <si>
    <t>Belgique</t>
  </si>
  <si>
    <t>Bruxelles</t>
  </si>
  <si>
    <t>20KM de Bruxelles</t>
  </si>
  <si>
    <t>20KM</t>
  </si>
  <si>
    <t xml:space="preserve">New Delhi </t>
  </si>
  <si>
    <t>Vedanta Delhi Half</t>
  </si>
  <si>
    <t>5.5 ; 2.6</t>
  </si>
  <si>
    <t>Singapour</t>
  </si>
  <si>
    <t>Singapore Marathon</t>
  </si>
  <si>
    <t>SG Marathon Pte Ltd</t>
  </si>
  <si>
    <t>ekiden</t>
  </si>
  <si>
    <t>aavant IRONMAN Asia</t>
  </si>
  <si>
    <t>Canada</t>
  </si>
  <si>
    <t>Vancouver</t>
  </si>
  <si>
    <t>Vancouver Sun Run</t>
  </si>
  <si>
    <t>Motiv sport</t>
  </si>
  <si>
    <t>Run Vancouver Holding</t>
  </si>
  <si>
    <t>Lyon</t>
  </si>
  <si>
    <t>Run in Lyon by Harmonie Mutuelle</t>
  </si>
  <si>
    <t>5km : run solidaire</t>
  </si>
  <si>
    <t>Corée du Sud</t>
  </si>
  <si>
    <t>Séoul</t>
  </si>
  <si>
    <t>Seoul Marathon</t>
  </si>
  <si>
    <t>Seoul Marathon organizing commitee</t>
  </si>
  <si>
    <t>Dam Tot Dal Loop</t>
  </si>
  <si>
    <t>10 miles</t>
  </si>
  <si>
    <t xml:space="preserve">Espagne </t>
  </si>
  <si>
    <t>Madrid</t>
  </si>
  <si>
    <t>Rock'n'roll Running Madrid</t>
  </si>
  <si>
    <t>Association sportive Mapoma &amp; AD MAPOMA</t>
  </si>
  <si>
    <t>Rotterdam</t>
  </si>
  <si>
    <t>NN Marathon Rotterdam</t>
  </si>
  <si>
    <t>Golazo</t>
  </si>
  <si>
    <t>Japon</t>
  </si>
  <si>
    <t>Tokyo</t>
  </si>
  <si>
    <t>Tokyo Marathon</t>
  </si>
  <si>
    <t>Tokyo Marathon Foundation</t>
  </si>
  <si>
    <t xml:space="preserve">Japon sports agency </t>
  </si>
  <si>
    <t>Anvers</t>
  </si>
  <si>
    <t>Baloise Antwerp 10 miles</t>
  </si>
  <si>
    <t>10 miles ; 5 miles</t>
  </si>
  <si>
    <t>Generali Berliner Halbmarathon</t>
  </si>
  <si>
    <t>Adidas 10k Paris</t>
  </si>
  <si>
    <t>Bengalore</t>
  </si>
  <si>
    <t>World 10K bengaluru</t>
  </si>
  <si>
    <t>Philadelphie</t>
  </si>
  <si>
    <t>Hot Chocolate Run</t>
  </si>
  <si>
    <t xml:space="preserve">Ventures Endurance Events </t>
  </si>
  <si>
    <t>Broad Street Run</t>
  </si>
  <si>
    <t>Sydney Marathon</t>
  </si>
  <si>
    <t>Pont3</t>
  </si>
  <si>
    <t>Gold Coast</t>
  </si>
  <si>
    <t>Goald Coast Marathon</t>
  </si>
  <si>
    <t>Events Management Queensland</t>
  </si>
  <si>
    <t>société owned bu Queensland Governement</t>
  </si>
  <si>
    <t>Honolulu</t>
  </si>
  <si>
    <t>Honolulu Marathon</t>
  </si>
  <si>
    <t>Honolulu Marathon Association</t>
  </si>
  <si>
    <t>Eindhoven</t>
  </si>
  <si>
    <t>ASML Marathon Eindhoven</t>
  </si>
  <si>
    <t xml:space="preserve">Marathon relai : 242 </t>
  </si>
  <si>
    <t>Danemark</t>
  </si>
  <si>
    <t xml:space="preserve">Copenhague </t>
  </si>
  <si>
    <t>Copenhagen Half Marathon</t>
  </si>
  <si>
    <t>Sparta Athletics &amp; Running</t>
  </si>
  <si>
    <t>Toulouse</t>
  </si>
  <si>
    <t>Toulouse Metropole Run Experience</t>
  </si>
  <si>
    <t>Playground</t>
  </si>
  <si>
    <t>M relais, Courses enfants</t>
  </si>
  <si>
    <t>Osaka</t>
  </si>
  <si>
    <t>Osaka Marathon</t>
  </si>
  <si>
    <t>JAAF</t>
  </si>
  <si>
    <t>Charleston</t>
  </si>
  <si>
    <t>Cooper River Bridge Run</t>
  </si>
  <si>
    <t>Valence</t>
  </si>
  <si>
    <t>Valencia Trinidad Alfonso</t>
  </si>
  <si>
    <t>S.D correcaminos Valencia</t>
  </si>
  <si>
    <t>Washington</t>
  </si>
  <si>
    <t>Marine Corps Marathon</t>
  </si>
  <si>
    <t>Marine Corps Marathon Organization</t>
  </si>
  <si>
    <t>Spokane</t>
  </si>
  <si>
    <t xml:space="preserve">Bloomsday Run </t>
  </si>
  <si>
    <t>Lilac Bloomsday Association</t>
  </si>
  <si>
    <t>Italie</t>
  </si>
  <si>
    <t>Rome</t>
  </si>
  <si>
    <t>Run Rome Marathon</t>
  </si>
  <si>
    <t>Infront</t>
  </si>
  <si>
    <t xml:space="preserve">Relai : 865 équipes </t>
  </si>
  <si>
    <t>Ottawa</t>
  </si>
  <si>
    <t>Tamarack Ottawa Race week end</t>
  </si>
  <si>
    <t>Run Ottawa</t>
  </si>
  <si>
    <t xml:space="preserve">Madrid </t>
  </si>
  <si>
    <t>Sport Life</t>
  </si>
  <si>
    <t>9 events dans différentes villes d'Espagne</t>
  </si>
  <si>
    <t>Milan</t>
  </si>
  <si>
    <t>Wizz Air Milano Marathon</t>
  </si>
  <si>
    <t>RCS</t>
  </si>
  <si>
    <t>Marathon en relai : 4000 équipes</t>
  </si>
  <si>
    <t>Chine</t>
  </si>
  <si>
    <t>Xiamen</t>
  </si>
  <si>
    <t>Xiamen Marathon</t>
  </si>
  <si>
    <t>Xiamen Wenguang Sports Co</t>
  </si>
  <si>
    <t>Arabie Saoudite</t>
  </si>
  <si>
    <t>Moyen-Orient</t>
  </si>
  <si>
    <t>Riyadh</t>
  </si>
  <si>
    <t>Riyadh Marathon</t>
  </si>
  <si>
    <t xml:space="preserve">Suffix </t>
  </si>
  <si>
    <t>Afrique du Sud</t>
  </si>
  <si>
    <t>Cape Town</t>
  </si>
  <si>
    <t>Two Oceans Marathon</t>
  </si>
  <si>
    <t>Hybride</t>
  </si>
  <si>
    <t>56 ; 24 ; 16</t>
  </si>
  <si>
    <t>NYC Half Marathon</t>
  </si>
  <si>
    <t>Los Angeles</t>
  </si>
  <si>
    <t>Los Angeles Marathon</t>
  </si>
  <si>
    <t>The McCourt Foundation</t>
  </si>
  <si>
    <t>Boston</t>
  </si>
  <si>
    <t>Boston Marathon</t>
  </si>
  <si>
    <t>Boston Athletic Association</t>
  </si>
  <si>
    <t>La Haye</t>
  </si>
  <si>
    <t>NN CPC Loop Den Haag</t>
  </si>
  <si>
    <t>Barcelone</t>
  </si>
  <si>
    <t xml:space="preserve">Cincinnati </t>
  </si>
  <si>
    <t>Flying Pig Marathon</t>
  </si>
  <si>
    <t>Pig Works</t>
  </si>
  <si>
    <t>Houston</t>
  </si>
  <si>
    <t>Houston Marathon</t>
  </si>
  <si>
    <t>Houston Marathon Commitee</t>
  </si>
  <si>
    <t>Mitja Marato Barcelona</t>
  </si>
  <si>
    <t>RPM sports</t>
  </si>
  <si>
    <t>Brooklyn Half Marathon</t>
  </si>
  <si>
    <t>Orlando</t>
  </si>
  <si>
    <t>Walt Disney Marathon</t>
  </si>
  <si>
    <t>Run Disney</t>
  </si>
  <si>
    <t xml:space="preserve">Festif </t>
  </si>
  <si>
    <t>Valencia Half Marathon Trinidad Alfonso</t>
  </si>
  <si>
    <t>Montréal</t>
  </si>
  <si>
    <t>Beneva Montréal Marathon</t>
  </si>
  <si>
    <t>Courons MTL</t>
  </si>
  <si>
    <t>Chili</t>
  </si>
  <si>
    <t>Santiago</t>
  </si>
  <si>
    <t xml:space="preserve">Maraton de Santiago </t>
  </si>
  <si>
    <t xml:space="preserve">No Prokart No Event </t>
  </si>
  <si>
    <t>Taiwan</t>
  </si>
  <si>
    <t>Taipei Marathon</t>
  </si>
  <si>
    <t>Cursa El corte Ingles</t>
  </si>
  <si>
    <t>El corte Inglés</t>
  </si>
  <si>
    <t>Autriche</t>
  </si>
  <si>
    <t>Vienne</t>
  </si>
  <si>
    <t>Vienna City marathon</t>
  </si>
  <si>
    <t xml:space="preserve">VCM Group </t>
  </si>
  <si>
    <t>Argentine</t>
  </si>
  <si>
    <t>Buenos Aires</t>
  </si>
  <si>
    <t>Medio Maraton de Buenos Aires</t>
  </si>
  <si>
    <t>Nandu Carreras y maratones</t>
  </si>
  <si>
    <t>Cardiff</t>
  </si>
  <si>
    <t xml:space="preserve">Cardiff Half </t>
  </si>
  <si>
    <t>R4Wales</t>
  </si>
  <si>
    <t>Nijmegen</t>
  </si>
  <si>
    <t>Zevenheuvelenloop</t>
  </si>
  <si>
    <t>Fondation Zevenheuvelenloop</t>
  </si>
  <si>
    <t>Manchester</t>
  </si>
  <si>
    <t>Manchester Marathon</t>
  </si>
  <si>
    <t>Cologne</t>
  </si>
  <si>
    <t>Generali Köln Marathon</t>
  </si>
  <si>
    <t>Kölner AusdauerSport GmbH</t>
  </si>
  <si>
    <t>relai : 893 équipes</t>
  </si>
  <si>
    <t>Hackney Half Marathon</t>
  </si>
  <si>
    <t>Irlande</t>
  </si>
  <si>
    <t>Dublin</t>
  </si>
  <si>
    <t>VHI Women's Mini Marathon</t>
  </si>
  <si>
    <t>Women's Mini Marathon Ltd</t>
  </si>
  <si>
    <t xml:space="preserve">Caritatif </t>
  </si>
  <si>
    <t>Shamrock Shuffle</t>
  </si>
  <si>
    <t>Mexique</t>
  </si>
  <si>
    <t>Mexico</t>
  </si>
  <si>
    <t>Mexico city marathon</t>
  </si>
  <si>
    <t>Chennai</t>
  </si>
  <si>
    <t>Freshworks Chennai Marathon</t>
  </si>
  <si>
    <t>20 miles</t>
  </si>
  <si>
    <t xml:space="preserve">Versailles </t>
  </si>
  <si>
    <t>Paris-Versailles - La grande classique</t>
  </si>
  <si>
    <t xml:space="preserve">16km </t>
  </si>
  <si>
    <t xml:space="preserve">Calcutta </t>
  </si>
  <si>
    <t>World 25K Kolkata</t>
  </si>
  <si>
    <t>25 ; 4.5 ; 2.3</t>
  </si>
  <si>
    <t>Louvain</t>
  </si>
  <si>
    <t>Leuven marathon</t>
  </si>
  <si>
    <t>Nouveauté</t>
  </si>
  <si>
    <t>Berne</t>
  </si>
  <si>
    <t xml:space="preserve">Grand Prix Von Bern </t>
  </si>
  <si>
    <t>Event und sport services</t>
  </si>
  <si>
    <t>10 miles ; 4,7km</t>
  </si>
  <si>
    <t>Shanghai</t>
  </si>
  <si>
    <t>Shanghai Marathon</t>
  </si>
  <si>
    <t>Shanghai Donghao Lansheng Sports Co</t>
  </si>
  <si>
    <t>San Franciso</t>
  </si>
  <si>
    <t>San Francisco Marathon</t>
  </si>
  <si>
    <t>Jumping fences</t>
  </si>
  <si>
    <t>52.4 miles (2 marathons)</t>
  </si>
  <si>
    <t>Nouvelle-Zélande</t>
  </si>
  <si>
    <t>Auckland</t>
  </si>
  <si>
    <t>Southern Cross Round The Bays</t>
  </si>
  <si>
    <t>Round the bays</t>
  </si>
  <si>
    <t>Festif</t>
  </si>
  <si>
    <t>8.4</t>
  </si>
  <si>
    <t>Medelin</t>
  </si>
  <si>
    <t>Maraton Medellin</t>
  </si>
  <si>
    <t>MCM Operador de Eventos</t>
  </si>
  <si>
    <t>Osterreichischer Frauenlauf</t>
  </si>
  <si>
    <t>Österreichischer Frauenlauf</t>
  </si>
  <si>
    <t>San Sebastian</t>
  </si>
  <si>
    <t>Behobia San Sebastian</t>
  </si>
  <si>
    <t>20km</t>
  </si>
  <si>
    <t xml:space="preserve">Fortuna Kirol elkartea Club deportivo </t>
  </si>
  <si>
    <t xml:space="preserve">Villefranche sur Saone </t>
  </si>
  <si>
    <t xml:space="preserve">Marathon International du Beaujolais </t>
  </si>
  <si>
    <t>13km, Rando pour Elle, Family, Trails</t>
  </si>
  <si>
    <t>Marato Barcelona</t>
  </si>
  <si>
    <t>San Silvestre Vallecana</t>
  </si>
  <si>
    <t>Lastlap</t>
  </si>
  <si>
    <t>Indonésie</t>
  </si>
  <si>
    <t>Jakarta</t>
  </si>
  <si>
    <t>Jakarta Running Festival</t>
  </si>
  <si>
    <t>PT Kelompok Lari Anak Bangsa (KLAB).</t>
  </si>
  <si>
    <t>Lettonie</t>
  </si>
  <si>
    <t>Riga</t>
  </si>
  <si>
    <t>Rimi Riga Marathon</t>
  </si>
  <si>
    <t>Nords Event communications</t>
  </si>
  <si>
    <t>NE Com depuis 2006</t>
  </si>
  <si>
    <t>Hambourg</t>
  </si>
  <si>
    <t>Haspa Marathon Hamburg</t>
  </si>
  <si>
    <t>Marathon Hamburg Veranstaltungs</t>
  </si>
  <si>
    <t>Bordeaux</t>
  </si>
  <si>
    <t>Semi &amp; 10km de Bordeaux</t>
  </si>
  <si>
    <t>x</t>
  </si>
  <si>
    <t>Marathon en 2026</t>
  </si>
  <si>
    <t>Madrid Medio Maraton</t>
  </si>
  <si>
    <t>Atresmedia</t>
  </si>
  <si>
    <t>Sydney Half Marathon</t>
  </si>
  <si>
    <t>Norvège</t>
  </si>
  <si>
    <t>Oslo</t>
  </si>
  <si>
    <t>Oslo Marathon</t>
  </si>
  <si>
    <t>Marathon d'Oslo</t>
  </si>
  <si>
    <t>Miami</t>
  </si>
  <si>
    <t>Miami marathon</t>
  </si>
  <si>
    <t xml:space="preserve">Life Time Athletic events </t>
  </si>
  <si>
    <t>Long Beach</t>
  </si>
  <si>
    <t>Long Beach Marathon</t>
  </si>
  <si>
    <t>Pologne</t>
  </si>
  <si>
    <t>Varsovie</t>
  </si>
  <si>
    <t>Polmaraton Warszawski</t>
  </si>
  <si>
    <t>Fundacia Maraton Warszawski</t>
  </si>
  <si>
    <t>Winter Run</t>
  </si>
  <si>
    <t>Ahmedabad</t>
  </si>
  <si>
    <t>Adani Ahmedabad Marathon</t>
  </si>
  <si>
    <t>Adani Sportsline / local partners</t>
  </si>
  <si>
    <t>London Landmarks Half Marathon</t>
  </si>
  <si>
    <t>Tommy's</t>
  </si>
  <si>
    <t>Kenya</t>
  </si>
  <si>
    <t>Nairobi</t>
  </si>
  <si>
    <t>Standard Chartered Nairobi Marathon</t>
  </si>
  <si>
    <t>Marseille</t>
  </si>
  <si>
    <t>Marseille-Cassis</t>
  </si>
  <si>
    <t>Loop Den Haag NN halve marathon</t>
  </si>
  <si>
    <t>Meia Maratona internacional Do Rio de Janeiro</t>
  </si>
  <si>
    <t xml:space="preserve">Yescom </t>
  </si>
  <si>
    <t>Austin</t>
  </si>
  <si>
    <t>Statesman Capitol 10K</t>
  </si>
  <si>
    <t xml:space="preserve">Ventures Endurance events </t>
  </si>
  <si>
    <t>San Francisco</t>
  </si>
  <si>
    <t>Bay to Breakers</t>
  </si>
  <si>
    <t>12 ; 15</t>
  </si>
  <si>
    <t>Munich</t>
  </si>
  <si>
    <t>Marathon Munchen</t>
  </si>
  <si>
    <t>Laufstatt Event gGmbH</t>
  </si>
  <si>
    <t xml:space="preserve">changement du tracé : hausse capacité </t>
  </si>
  <si>
    <t>Séville</t>
  </si>
  <si>
    <t>Carrera Nocturna del Guadalquivir KH7</t>
  </si>
  <si>
    <t>KH7</t>
  </si>
  <si>
    <t>Institu Municpal de Deportes</t>
  </si>
  <si>
    <t>10km Fulfil des Champs Elysées</t>
  </si>
  <si>
    <t>SCO</t>
  </si>
  <si>
    <t>DeeJay Ten Milano</t>
  </si>
  <si>
    <t>KOASS Milano</t>
  </si>
  <si>
    <t xml:space="preserve">Stockholm </t>
  </si>
  <si>
    <t>Stockholm Marathon</t>
  </si>
  <si>
    <t>Marathon Gruppen</t>
  </si>
  <si>
    <t>Rocky Run</t>
  </si>
  <si>
    <t>Lausanne</t>
  </si>
  <si>
    <t>20Km de Lausanne</t>
  </si>
  <si>
    <t xml:space="preserve">APCL &amp; service des sports </t>
  </si>
  <si>
    <t>Wizz Air Rome Half Marathon</t>
  </si>
  <si>
    <t>Roma &amp; RomaOstia</t>
  </si>
  <si>
    <t>Delhi Half Marathon</t>
  </si>
  <si>
    <t>Irish life Dublin Marathon</t>
  </si>
  <si>
    <t>Dublin Marathon Group</t>
  </si>
  <si>
    <t>Manchester Half Marathon</t>
  </si>
  <si>
    <t>Richmond</t>
  </si>
  <si>
    <t>Monument Avenue 10K</t>
  </si>
  <si>
    <t>Sport Backers</t>
  </si>
  <si>
    <t>Generali Genève Marathon</t>
  </si>
  <si>
    <t>OC Sport</t>
  </si>
  <si>
    <t>Indianapolis</t>
  </si>
  <si>
    <t>500 Festival Half Marathon</t>
  </si>
  <si>
    <t>500 fesival</t>
  </si>
  <si>
    <t>Hanovre</t>
  </si>
  <si>
    <t>ADAC Marathon de Hannover</t>
  </si>
  <si>
    <t>eichels GmbH</t>
  </si>
  <si>
    <t>Philippines</t>
  </si>
  <si>
    <t>Manille</t>
  </si>
  <si>
    <t>Manila Marathon</t>
  </si>
  <si>
    <t>Manila International Marathon LLC</t>
  </si>
  <si>
    <t>San Diego</t>
  </si>
  <si>
    <t>Rock'n'Roll San Diego Half Marathon</t>
  </si>
  <si>
    <t>IRONMAN GROUP</t>
  </si>
  <si>
    <t xml:space="preserve">The big Half </t>
  </si>
  <si>
    <t>Richmond Marathon</t>
  </si>
  <si>
    <t>Vitality London 10,000</t>
  </si>
  <si>
    <t>Ghent</t>
  </si>
  <si>
    <t>Gent marathon</t>
  </si>
  <si>
    <t>Huntington Beach</t>
  </si>
  <si>
    <t>Surf City Marathon</t>
  </si>
  <si>
    <t>Emirats arabes unis</t>
  </si>
  <si>
    <t xml:space="preserve">Abou Dabi </t>
  </si>
  <si>
    <t>Abu Dhabi Marathon</t>
  </si>
  <si>
    <t>2,5K</t>
  </si>
  <si>
    <t>Adelaide</t>
  </si>
  <si>
    <t>City-Bay</t>
  </si>
  <si>
    <t>City Bay Fun run</t>
  </si>
  <si>
    <t xml:space="preserve">12 ; 6 </t>
  </si>
  <si>
    <t>Slovénie</t>
  </si>
  <si>
    <t>Ljubljana</t>
  </si>
  <si>
    <t>Ljubljana Marathon</t>
  </si>
  <si>
    <t>Bilbao</t>
  </si>
  <si>
    <t xml:space="preserve">Bilbao Night Running Fest </t>
  </si>
  <si>
    <t>StreetMarketing</t>
  </si>
  <si>
    <t>Hongrie</t>
  </si>
  <si>
    <t>Budapest</t>
  </si>
  <si>
    <t>Wizz Air Budapest Half marathon</t>
  </si>
  <si>
    <t>BSI Sport Kft</t>
  </si>
  <si>
    <t>relai : 676 à 2 +555 à 3</t>
  </si>
  <si>
    <t xml:space="preserve">1/2 Maraton de Sevilla </t>
  </si>
  <si>
    <t>Create &amp; Deporte y Atletisto san pablo</t>
  </si>
  <si>
    <t>20K?</t>
  </si>
  <si>
    <t>Kobe</t>
  </si>
  <si>
    <t>Kobe Marathon</t>
  </si>
  <si>
    <t>Hyogo Athletics Association</t>
  </si>
  <si>
    <t>Sapporo</t>
  </si>
  <si>
    <t>Hokkaido Marathon</t>
  </si>
  <si>
    <t>Association athlétique amateur Hokkaido</t>
  </si>
  <si>
    <t>Eva Air Marathon</t>
  </si>
  <si>
    <t>The Republic of China Road Running Association</t>
  </si>
  <si>
    <t>Nice</t>
  </si>
  <si>
    <t>Marathon des Alpes-Maritimes Nice-Cannes by Kiprun</t>
  </si>
  <si>
    <t>Azur Sport Organisation</t>
  </si>
  <si>
    <t>Ekiden, 20km, marathon duo</t>
  </si>
  <si>
    <t>Royal Parks Half Marathon</t>
  </si>
  <si>
    <t>fin 2026 : 2 mars</t>
  </si>
  <si>
    <t>Brighton</t>
  </si>
  <si>
    <t>Brighton Marathon Week end</t>
  </si>
  <si>
    <t>Thailande</t>
  </si>
  <si>
    <t>Pattaya</t>
  </si>
  <si>
    <t>Pattaya Marathon</t>
  </si>
  <si>
    <t xml:space="preserve">Thailand Tri-league </t>
  </si>
  <si>
    <t>NordicTrack running château de Versailles</t>
  </si>
  <si>
    <t>Hugo Events (éditions Glénat)</t>
  </si>
  <si>
    <t>Autre</t>
  </si>
  <si>
    <t>San Antonio</t>
  </si>
  <si>
    <t>San Antonio Marathon</t>
  </si>
  <si>
    <t>Carrera Ponle Freno Madrid</t>
  </si>
  <si>
    <t>Pérou</t>
  </si>
  <si>
    <t xml:space="preserve">Lima </t>
  </si>
  <si>
    <t>Maraton Lima 42K</t>
  </si>
  <si>
    <t>Peru Runners &amp; adidas</t>
  </si>
  <si>
    <t>Zurich</t>
  </si>
  <si>
    <t>Zurich Marathon</t>
  </si>
  <si>
    <t xml:space="preserve">Human Sports Management </t>
  </si>
  <si>
    <t>Stockholm Half Marathon</t>
  </si>
  <si>
    <t xml:space="preserve">Zurich </t>
  </si>
  <si>
    <t>SOLA-Stafette Zürich</t>
  </si>
  <si>
    <t>relai sur 114,77</t>
  </si>
  <si>
    <t>Association sportive universitaire de Zurich</t>
  </si>
  <si>
    <t>Antwerp Marathon</t>
  </si>
  <si>
    <t>7 ; 13</t>
  </si>
  <si>
    <t>Nagoya</t>
  </si>
  <si>
    <t>Nagoya Women's Marathon</t>
  </si>
  <si>
    <t>Glasgow</t>
  </si>
  <si>
    <t>Great Scottish Run</t>
  </si>
  <si>
    <t>Urban Trail Antwerp</t>
  </si>
  <si>
    <t>UrbanTrail</t>
  </si>
  <si>
    <t>URBAN TRAIL BELGIUM SERIES</t>
  </si>
  <si>
    <t>Runaway Auckland Marathon</t>
  </si>
  <si>
    <t>Finlande</t>
  </si>
  <si>
    <t>Helsinki</t>
  </si>
  <si>
    <t xml:space="preserve">Helsinki City run </t>
  </si>
  <si>
    <t>Finnish Athletics</t>
  </si>
  <si>
    <t>relai</t>
  </si>
  <si>
    <t>Nantes</t>
  </si>
  <si>
    <t>Abalone Marathon de Nantes</t>
  </si>
  <si>
    <t>22,8k en 2026</t>
  </si>
  <si>
    <t>Turquie</t>
  </si>
  <si>
    <t>Istanbul</t>
  </si>
  <si>
    <t>Istanbul Maratonu</t>
  </si>
  <si>
    <t>15K</t>
  </si>
  <si>
    <t>Lille</t>
  </si>
  <si>
    <t>Marathon de Lille</t>
  </si>
  <si>
    <t>Ligue Haut de France Athlé</t>
  </si>
  <si>
    <t>New - Marathon en 2026</t>
  </si>
  <si>
    <t>Qatar</t>
  </si>
  <si>
    <t>Doha</t>
  </si>
  <si>
    <t>Doha Running Festival</t>
  </si>
  <si>
    <t>RunThrough</t>
  </si>
  <si>
    <t>16 &amp; 20 miles, 1K</t>
  </si>
  <si>
    <t>Doha Marathon</t>
  </si>
  <si>
    <t>Kid race</t>
  </si>
  <si>
    <t>Las Vegas</t>
  </si>
  <si>
    <t>Rock'n'Roll Las Vegas</t>
  </si>
  <si>
    <t>Francfort</t>
  </si>
  <si>
    <t>Hamburg Halbmarathon</t>
  </si>
  <si>
    <t xml:space="preserve">BMS Die Laufgesellschaft </t>
  </si>
  <si>
    <t>10K Valencia Ibercaja</t>
  </si>
  <si>
    <t xml:space="preserve">C atletismo 10K Valencia </t>
  </si>
  <si>
    <t>Fribourg</t>
  </si>
  <si>
    <t>Morat-Fribourg</t>
  </si>
  <si>
    <t>Club Athlétique Fribourg</t>
  </si>
  <si>
    <t>Lucerne</t>
  </si>
  <si>
    <t>Luzerner Stadtlauf</t>
  </si>
  <si>
    <t>Lucerne city run</t>
  </si>
  <si>
    <t xml:space="preserve">République Tchèque </t>
  </si>
  <si>
    <t>Prague</t>
  </si>
  <si>
    <t>Generali Prague Half Marathon</t>
  </si>
  <si>
    <t xml:space="preserve">RunCzech </t>
  </si>
  <si>
    <t>Juniorský maratonský klub</t>
  </si>
  <si>
    <t>Zandvoort</t>
  </si>
  <si>
    <t>Zandvoort circuit run</t>
  </si>
  <si>
    <t>10 miles ; 12K, 4K</t>
  </si>
  <si>
    <t>awstartbaan</t>
  </si>
  <si>
    <t>Cape Town Marathon</t>
  </si>
  <si>
    <t>22 ; 11</t>
  </si>
  <si>
    <t xml:space="preserve">Singapour </t>
  </si>
  <si>
    <t>The Music Run</t>
  </si>
  <si>
    <t>Allianz Jean Bouin</t>
  </si>
  <si>
    <t xml:space="preserve">Mundo Deportivo </t>
  </si>
  <si>
    <t>Caen</t>
  </si>
  <si>
    <t>Marathon de la Liberté - Normandy Running Festival</t>
  </si>
  <si>
    <t>Relais (1000), marches, courses enfants Les Foulées (4000)</t>
  </si>
  <si>
    <t>Estonie</t>
  </si>
  <si>
    <t>Tallinn</t>
  </si>
  <si>
    <t>Swedbank Tallinna maraton</t>
  </si>
  <si>
    <t>Jooks</t>
  </si>
  <si>
    <t>marathon relai</t>
  </si>
  <si>
    <t> SPORDIÜRITUSTE KORRALDAMISE KLUBI</t>
  </si>
  <si>
    <t>Tours</t>
  </si>
  <si>
    <t xml:space="preserve">Running Loire Valley </t>
  </si>
  <si>
    <t xml:space="preserve">20km, marche nordique, course enfants </t>
  </si>
  <si>
    <t>Venise</t>
  </si>
  <si>
    <t>Wizz Air Venice Marathon</t>
  </si>
  <si>
    <t>Venice Marathon</t>
  </si>
  <si>
    <t>Calgary</t>
  </si>
  <si>
    <t>Calgary Marathon</t>
  </si>
  <si>
    <t>Run Calgary</t>
  </si>
  <si>
    <t>Nice Semi-Marathon International</t>
  </si>
  <si>
    <t>Rennes</t>
  </si>
  <si>
    <t>Marathon Vert</t>
  </si>
  <si>
    <t>Groupe Jeulin</t>
  </si>
  <si>
    <t>M relais, M duo, 10k nocturne, Marche</t>
  </si>
  <si>
    <t>La Parisienne</t>
  </si>
  <si>
    <t>course 10 et 7km + marche</t>
  </si>
  <si>
    <t>Modène</t>
  </si>
  <si>
    <t>Mezza Maratona d'Italia - Memorial Enzo Ferrari</t>
  </si>
  <si>
    <t>Non solo running</t>
  </si>
  <si>
    <t>Maraton de Sevilla</t>
  </si>
  <si>
    <t>Media Maraton de Lima</t>
  </si>
  <si>
    <t>Pero Runners</t>
  </si>
  <si>
    <t xml:space="preserve">semi marathon le + ancien du monde - 117 </t>
  </si>
  <si>
    <t xml:space="preserve">Enschede </t>
  </si>
  <si>
    <t>Enschede Marathon</t>
  </si>
  <si>
    <t>Stichting International Topsport Events Twente</t>
  </si>
  <si>
    <t>Brusells airport marathon</t>
  </si>
  <si>
    <t>Nashvile</t>
  </si>
  <si>
    <t>Rock'n'Roll Nashville</t>
  </si>
  <si>
    <t>Saucony Londres 10K</t>
  </si>
  <si>
    <t>Portugal</t>
  </si>
  <si>
    <t>Lisbonne</t>
  </si>
  <si>
    <t xml:space="preserve">Maratona de Lisboa </t>
  </si>
  <si>
    <t xml:space="preserve">Space Running Portugal </t>
  </si>
  <si>
    <t>Apeldoorn</t>
  </si>
  <si>
    <t>Midwintern Marathon</t>
  </si>
  <si>
    <t>25 ; 8</t>
  </si>
  <si>
    <t>Apeldoorn Marathon foundation</t>
  </si>
  <si>
    <t>Istanbul Half Marathon</t>
  </si>
  <si>
    <t>Jaipur</t>
  </si>
  <si>
    <t>Vedanta Pink City Half</t>
  </si>
  <si>
    <t>Anybody Can Run</t>
  </si>
  <si>
    <t>JBG Kolkata Marathon</t>
  </si>
  <si>
    <t>JBG Kolkata Marathon org</t>
  </si>
  <si>
    <t>Jodhpur</t>
  </si>
  <si>
    <t>SK Jodhpur Marathon</t>
  </si>
  <si>
    <t>Indian Institute of Event Management Research</t>
  </si>
  <si>
    <t>Frankfurt marathon</t>
  </si>
  <si>
    <t xml:space="preserve">Motion Events </t>
  </si>
  <si>
    <t>Great Manchester Run</t>
  </si>
  <si>
    <t xml:space="preserve">Freiburg Marathon </t>
  </si>
  <si>
    <t>Victoria</t>
  </si>
  <si>
    <t>Royal Victoria Marathon</t>
  </si>
  <si>
    <t>Victoria Marathon society</t>
  </si>
  <si>
    <t>SportScheck RUN Munchen</t>
  </si>
  <si>
    <t>SportScheck GmbH</t>
  </si>
  <si>
    <t>Singapore Compression Run</t>
  </si>
  <si>
    <t>Pink Apple Pte</t>
  </si>
  <si>
    <t xml:space="preserve">Dresde </t>
  </si>
  <si>
    <t>Dresden Marathon</t>
  </si>
  <si>
    <t>Dublin city half marathon</t>
  </si>
  <si>
    <t>Sunshine coast</t>
  </si>
  <si>
    <t xml:space="preserve">Sunshine coast Marathon Festival </t>
  </si>
  <si>
    <t>Atlas events</t>
  </si>
  <si>
    <t>Stuttgart</t>
  </si>
  <si>
    <t>Stuttgart-Lauf</t>
  </si>
  <si>
    <t>Association d'athlétisme du Wurtemberg</t>
  </si>
  <si>
    <t>Adidas Runners city night</t>
  </si>
  <si>
    <t>Ravenna</t>
  </si>
  <si>
    <t>Maratona Di Ravenna</t>
  </si>
  <si>
    <t>Ravenna Runners Club</t>
  </si>
  <si>
    <t>Perth</t>
  </si>
  <si>
    <t>Perth running festival</t>
  </si>
  <si>
    <t>Perth Running Festival PTY LTD</t>
  </si>
  <si>
    <t>Egmond aan Zee</t>
  </si>
  <si>
    <t>Egmond Halve marathon</t>
  </si>
  <si>
    <t xml:space="preserve">passage sur le sable </t>
  </si>
  <si>
    <t>Bonn</t>
  </si>
  <si>
    <t xml:space="preserve">Deutsche Post Marathon Bonn </t>
  </si>
  <si>
    <t>MMP Event GmbH</t>
  </si>
  <si>
    <t>15KM de Rotterdam</t>
  </si>
  <si>
    <t>Utrecht</t>
  </si>
  <si>
    <t>Utrecht Marathon</t>
  </si>
  <si>
    <t xml:space="preserve">Porto </t>
  </si>
  <si>
    <t xml:space="preserve">Sao Silvestre do Porto </t>
  </si>
  <si>
    <t>runporto</t>
  </si>
  <si>
    <t>Lausanne Marathon</t>
  </si>
  <si>
    <t>New Delhi</t>
  </si>
  <si>
    <t>Indian Army Day Half Marathon</t>
  </si>
  <si>
    <t>Hindustan Marathon</t>
  </si>
  <si>
    <t>Maroc</t>
  </si>
  <si>
    <t>Marrakech</t>
  </si>
  <si>
    <t>Marathon international de Marrakech</t>
  </si>
  <si>
    <t>Le Grand Atlas</t>
  </si>
  <si>
    <t>Paderborn</t>
  </si>
  <si>
    <t xml:space="preserve">Paderborner Osterlauf </t>
  </si>
  <si>
    <t>Portland</t>
  </si>
  <si>
    <t>Shamrock Run</t>
  </si>
  <si>
    <t>Cursa dels Nassos</t>
  </si>
  <si>
    <t xml:space="preserve">Sao Silvestre de Lisboa </t>
  </si>
  <si>
    <t xml:space="preserve">HMS Sports </t>
  </si>
  <si>
    <t>New Delhi Marathon</t>
  </si>
  <si>
    <t>NEB Sports</t>
  </si>
  <si>
    <t>Sapporo Half Marathon</t>
  </si>
  <si>
    <t>Fukuoka</t>
  </si>
  <si>
    <t>Fukuoka Marathon</t>
  </si>
  <si>
    <t>Luxembourg</t>
  </si>
  <si>
    <t>ING Night Marathon Luxembourg</t>
  </si>
  <si>
    <t xml:space="preserve">step by step </t>
  </si>
  <si>
    <t>Bristol</t>
  </si>
  <si>
    <t>Great Bristol Run</t>
  </si>
  <si>
    <t>Edimbourg</t>
  </si>
  <si>
    <t xml:space="preserve">Edimburgh Marathon Festival </t>
  </si>
  <si>
    <t>Gsi Events Ltd</t>
  </si>
  <si>
    <t>Macédoine du Nord</t>
  </si>
  <si>
    <t>Skopje</t>
  </si>
  <si>
    <t>Wizz Air Skopje Marathon</t>
  </si>
  <si>
    <t>A.K Ckomckm Mapatoh</t>
  </si>
  <si>
    <t>Swiss city Marathon</t>
  </si>
  <si>
    <t>Swissi City marathon</t>
  </si>
  <si>
    <t xml:space="preserve">Mumbai </t>
  </si>
  <si>
    <t>IndianOil WNC Navy Half</t>
  </si>
  <si>
    <t>Indian Navy / WNC Navy Half org</t>
  </si>
  <si>
    <t>Liverpool</t>
  </si>
  <si>
    <t xml:space="preserve">Liverpool Half Marathon </t>
  </si>
  <si>
    <t xml:space="preserve">BTR Liverppol </t>
  </si>
  <si>
    <t>10 Miles</t>
  </si>
  <si>
    <t>Denver</t>
  </si>
  <si>
    <t>Denver Marathon</t>
  </si>
  <si>
    <t>Colfax Marathon Partnership - 501©3</t>
  </si>
  <si>
    <t>Davenport</t>
  </si>
  <si>
    <t xml:space="preserve">Bix 7 </t>
  </si>
  <si>
    <t>Haku Sports</t>
  </si>
  <si>
    <t>7 miles ; 2 miles</t>
  </si>
  <si>
    <t xml:space="preserve">Saint Denis </t>
  </si>
  <si>
    <t>La Grande Course RATP du Grand Paris</t>
  </si>
  <si>
    <t xml:space="preserve">Courses enfants </t>
  </si>
  <si>
    <t>Greifensee</t>
  </si>
  <si>
    <t>Greifenseelauf</t>
  </si>
  <si>
    <t>markus ryffel's</t>
  </si>
  <si>
    <t>Bruges</t>
  </si>
  <si>
    <t>Bruges marathon</t>
  </si>
  <si>
    <t>Guadalajara</t>
  </si>
  <si>
    <t>Guadalajara Half Marathon</t>
  </si>
  <si>
    <t>Thane</t>
  </si>
  <si>
    <t>Union Bank of India Thane Half Marathon</t>
  </si>
  <si>
    <t>Striders</t>
  </si>
  <si>
    <t xml:space="preserve">Oxford </t>
  </si>
  <si>
    <t xml:space="preserve">Oxford Half </t>
  </si>
  <si>
    <t>Oxford Half</t>
  </si>
  <si>
    <t>Tromso</t>
  </si>
  <si>
    <t>Midnight sun Marathon</t>
  </si>
  <si>
    <t>Midnight Sun Marathon Foundation</t>
  </si>
  <si>
    <t>Nairobi City Marathon</t>
  </si>
  <si>
    <t>Maraton Warszawski</t>
  </si>
  <si>
    <t>Lithuanie</t>
  </si>
  <si>
    <t>Vilnius</t>
  </si>
  <si>
    <t>Vilniaus Maratonas</t>
  </si>
  <si>
    <t>LDN X</t>
  </si>
  <si>
    <t>Vueling cursa bombers</t>
  </si>
  <si>
    <t>Love Run</t>
  </si>
  <si>
    <t>Murcia</t>
  </si>
  <si>
    <t>Maraton Murcia Costa Calida</t>
  </si>
  <si>
    <t>Mayence</t>
  </si>
  <si>
    <t>Gutenberg Halbmarathon Mainz</t>
  </si>
  <si>
    <t xml:space="preserve">Motion events </t>
  </si>
  <si>
    <t>Tjejmilen</t>
  </si>
  <si>
    <t>Caritatif</t>
  </si>
  <si>
    <t>Hässelby SK &amp; Sparvagens FK</t>
  </si>
  <si>
    <t>Dubai</t>
  </si>
  <si>
    <t>Dubai Marathon</t>
  </si>
  <si>
    <t xml:space="preserve">pace event </t>
  </si>
  <si>
    <t>4K</t>
  </si>
  <si>
    <t>Dubai Sports Council</t>
  </si>
  <si>
    <t>Trondheim</t>
  </si>
  <si>
    <t>Trondheim Marathon</t>
  </si>
  <si>
    <t>NIDELV-IV</t>
  </si>
  <si>
    <t>San Sebastian Marathon</t>
  </si>
  <si>
    <t>Graz</t>
  </si>
  <si>
    <t>Graz Marathon</t>
  </si>
  <si>
    <t>MJK Sportmarketing GmbH</t>
  </si>
  <si>
    <t>Tempe</t>
  </si>
  <si>
    <t>Rock'n'Roll Arizona</t>
  </si>
  <si>
    <t>Liège</t>
  </si>
  <si>
    <t>15km Liège Metropole</t>
  </si>
  <si>
    <t>ASBL Sport etSanté</t>
  </si>
  <si>
    <t>Vietnam</t>
  </si>
  <si>
    <t>Ho Chi Minh</t>
  </si>
  <si>
    <t>Ho Chi Minh city marathon</t>
  </si>
  <si>
    <t>pulse active</t>
  </si>
  <si>
    <t>Wellington</t>
  </si>
  <si>
    <t xml:space="preserve">Bergen </t>
  </si>
  <si>
    <t>Bergen City Marathon</t>
  </si>
  <si>
    <t>Idrettsforeningen TIF Viking</t>
  </si>
  <si>
    <t>Turn</t>
  </si>
  <si>
    <t xml:space="preserve">Malaga </t>
  </si>
  <si>
    <t xml:space="preserve">Generali Maraton Malaga </t>
  </si>
  <si>
    <t>Linz</t>
  </si>
  <si>
    <t>Linz Donau Marathon</t>
  </si>
  <si>
    <t>Liva Sport</t>
  </si>
  <si>
    <t>Düsseldorf</t>
  </si>
  <si>
    <t>Uniper Marathon de Düsseldorf</t>
  </si>
  <si>
    <t>D.Live GmbH</t>
  </si>
  <si>
    <t>Bath</t>
  </si>
  <si>
    <t>Bath Half Marathon</t>
  </si>
  <si>
    <t>Global 10K New Delhi</t>
  </si>
  <si>
    <t>TuffMan</t>
  </si>
  <si>
    <t>Khobar</t>
  </si>
  <si>
    <t xml:space="preserve">Sharqiyah International Race </t>
  </si>
  <si>
    <t>1 mile</t>
  </si>
  <si>
    <t>Saucony Shoreditch Half</t>
  </si>
  <si>
    <t>Oman</t>
  </si>
  <si>
    <t xml:space="preserve">Mascate </t>
  </si>
  <si>
    <t>Muscat Marathon</t>
  </si>
  <si>
    <t xml:space="preserve">Sabco Sports </t>
  </si>
  <si>
    <t>Kitakyushu</t>
  </si>
  <si>
    <t>Kitakyushu Marathon</t>
  </si>
  <si>
    <t>Association d'athlétisme de la ville de Kitakyushu</t>
  </si>
  <si>
    <t>Karnataka State Police Run</t>
  </si>
  <si>
    <t>Brisbane</t>
  </si>
  <si>
    <t>Brisbane marathon festival</t>
  </si>
  <si>
    <t xml:space="preserve">Leipzig </t>
  </si>
  <si>
    <t>Leipzig Marathon</t>
  </si>
  <si>
    <t>Wictory events</t>
  </si>
  <si>
    <t>Oakland</t>
  </si>
  <si>
    <t>Oakland Marathon</t>
  </si>
  <si>
    <t>Run Local Ventures</t>
  </si>
  <si>
    <t>Rock'n'Roll Washington DC</t>
  </si>
  <si>
    <t>Egypte</t>
  </si>
  <si>
    <t xml:space="preserve">Gizeh </t>
  </si>
  <si>
    <t>Pyramids Half Marathon</t>
  </si>
  <si>
    <t>The Trifactory</t>
  </si>
  <si>
    <t>Belfast</t>
  </si>
  <si>
    <t>Belfast City Marathon</t>
  </si>
  <si>
    <t>Belfast City Marathon Ltd</t>
  </si>
  <si>
    <t>relai &amp; course femme</t>
  </si>
  <si>
    <t>The Hapalua - Hawaii's Hlaf marathon</t>
  </si>
  <si>
    <t>Saint-Gall</t>
  </si>
  <si>
    <t>Auffahrtslauf St.Gallen</t>
  </si>
  <si>
    <t>ProPuls GmbH</t>
  </si>
  <si>
    <t>6 ; 3,5</t>
  </si>
  <si>
    <t>Namur</t>
  </si>
  <si>
    <t>Baloise Namur Marathon</t>
  </si>
  <si>
    <t>We4sport</t>
  </si>
  <si>
    <t>San Jose</t>
  </si>
  <si>
    <t>Rock'n'Roll San Jose</t>
  </si>
  <si>
    <t xml:space="preserve">Cascais </t>
  </si>
  <si>
    <t>Montepio Meia Maratona Cascais</t>
  </si>
  <si>
    <t xml:space="preserve">Maratona do Porto </t>
  </si>
  <si>
    <t>Bulgarie</t>
  </si>
  <si>
    <t>Sofia</t>
  </si>
  <si>
    <t>Wizz Air Sofia Marathon</t>
  </si>
  <si>
    <t>АСОЦИАЦИЯ СПОРТ В СВОБОДНОТО ВРЕМЕ</t>
  </si>
  <si>
    <t>Prague International Marathon</t>
  </si>
  <si>
    <t>Nagano</t>
  </si>
  <si>
    <t>Nagano Marathon</t>
  </si>
  <si>
    <t>JTB</t>
  </si>
  <si>
    <t>Can Tho</t>
  </si>
  <si>
    <t>Can Tho Marathon Heritage Race</t>
  </si>
  <si>
    <t>DHA Vietnam</t>
  </si>
  <si>
    <t>Karlsruhe</t>
  </si>
  <si>
    <t>Baden Marathon</t>
  </si>
  <si>
    <t>Marathon Karlruhe</t>
  </si>
  <si>
    <t>Bengaluru Marathon</t>
  </si>
  <si>
    <t>Leeds</t>
  </si>
  <si>
    <t>Leeds Half Marathon</t>
  </si>
  <si>
    <t>Run for All</t>
  </si>
  <si>
    <t xml:space="preserve">Bangkok </t>
  </si>
  <si>
    <t>Bangkok Marathon</t>
  </si>
  <si>
    <t>National Jogging Association of Thailand</t>
  </si>
  <si>
    <t xml:space="preserve">Rock'n'Roll Manila </t>
  </si>
  <si>
    <t>Florence</t>
  </si>
  <si>
    <t>Estra Firenze Marathon</t>
  </si>
  <si>
    <t>Maratona di Firenza</t>
  </si>
  <si>
    <t>charity run</t>
  </si>
  <si>
    <t>Quebec</t>
  </si>
  <si>
    <t xml:space="preserve">Quebec City Marathon </t>
  </si>
  <si>
    <t>Corporation Événements Course de Québec</t>
  </si>
  <si>
    <t>Slovaquie</t>
  </si>
  <si>
    <t>Bratislava</t>
  </si>
  <si>
    <t>Bratislava Marathon</t>
  </si>
  <si>
    <t>BeCool S.R.O</t>
  </si>
  <si>
    <t xml:space="preserve">relai </t>
  </si>
  <si>
    <t>RomaOstia Half marathon</t>
  </si>
  <si>
    <t>Palma de Majorque</t>
  </si>
  <si>
    <t>Palma Marathon Mallorca</t>
  </si>
  <si>
    <t xml:space="preserve">Kumulus Active world </t>
  </si>
  <si>
    <t>Zürcher Silvesterlauf</t>
  </si>
  <si>
    <t>TV unterstrass</t>
  </si>
  <si>
    <t>Baton Rouge</t>
  </si>
  <si>
    <t>Louisiana Marathon</t>
  </si>
  <si>
    <t>FreshJunkie</t>
  </si>
  <si>
    <t>18 events dont 14 propriétaires</t>
  </si>
  <si>
    <t>Birmingham</t>
  </si>
  <si>
    <t>Great Birmingham Run</t>
  </si>
  <si>
    <t>Vadodara</t>
  </si>
  <si>
    <t>MG Vadodara International Marathon</t>
  </si>
  <si>
    <t>Vadodara Marathon</t>
  </si>
  <si>
    <t>Milano21</t>
  </si>
  <si>
    <t xml:space="preserve">MG sport </t>
  </si>
  <si>
    <t>Mendoza</t>
  </si>
  <si>
    <t>Maraton de Mendoza</t>
  </si>
  <si>
    <t>Fundacion Filipides</t>
  </si>
  <si>
    <t>Tokushima</t>
  </si>
  <si>
    <t>Tokushima Marathon</t>
  </si>
  <si>
    <t>TOKUSHIMA MARATHON 2026</t>
  </si>
  <si>
    <t>Chennai Navy Half Marathon</t>
  </si>
  <si>
    <t>Southampton</t>
  </si>
  <si>
    <t xml:space="preserve">Southampton Marathon festival </t>
  </si>
  <si>
    <t>ReesLeisure event</t>
  </si>
  <si>
    <t>Dwars Door Bruges</t>
  </si>
  <si>
    <t>10K Night Race Prague</t>
  </si>
  <si>
    <t>York</t>
  </si>
  <si>
    <t>Yorkshire Marathon</t>
  </si>
  <si>
    <t>Sri Lanka</t>
  </si>
  <si>
    <t xml:space="preserve">Colombo </t>
  </si>
  <si>
    <t>Colombo Marathon</t>
  </si>
  <si>
    <t>Lanka Sportreizen</t>
  </si>
  <si>
    <t>Schweizer Frauenlauf Bern</t>
  </si>
  <si>
    <t>Shefield</t>
  </si>
  <si>
    <t>Sheffield Half Marathon</t>
  </si>
  <si>
    <t>Saragosse</t>
  </si>
  <si>
    <t>Maraton de Zaragoza</t>
  </si>
  <si>
    <t xml:space="preserve">Rock'n' Roll Mexico City </t>
  </si>
  <si>
    <t>Bjorn Borg Helsinki Marathon</t>
  </si>
  <si>
    <t>Runner's High</t>
  </si>
  <si>
    <t>Nuremberg</t>
  </si>
  <si>
    <t>SportScheck Run Nuremberg</t>
  </si>
  <si>
    <t>Avec association du même nom</t>
  </si>
  <si>
    <t>Alicante</t>
  </si>
  <si>
    <t>Media Maraton internacional aguas de alicante</t>
  </si>
  <si>
    <t>Casablanca</t>
  </si>
  <si>
    <t>Casablanca Marathon</t>
  </si>
  <si>
    <t>Association des coureurs du Grand Casablanca</t>
  </si>
  <si>
    <t>Salzbourg</t>
  </si>
  <si>
    <t>Running Festival in Mozart City</t>
  </si>
  <si>
    <t>sportlmPuls Verlags &amp; Marketing</t>
  </si>
  <si>
    <t>Santa Monica</t>
  </si>
  <si>
    <t xml:space="preserve">Santa Monica Classic </t>
  </si>
  <si>
    <t>Golden Gate</t>
  </si>
  <si>
    <t>SportScheck Run Hannovre</t>
  </si>
  <si>
    <t xml:space="preserve">Chicago </t>
  </si>
  <si>
    <t>Chicago Triathlon</t>
  </si>
  <si>
    <t>Supertri</t>
  </si>
  <si>
    <t>Triathlon</t>
  </si>
  <si>
    <t>7 types de triathlons</t>
  </si>
  <si>
    <t>Chester</t>
  </si>
  <si>
    <t>Chester 10K</t>
  </si>
  <si>
    <t>Active Leisure events</t>
  </si>
  <si>
    <t>Amstelveen</t>
  </si>
  <si>
    <t>KPMG Lentermarathon</t>
  </si>
  <si>
    <t>Ibiza</t>
  </si>
  <si>
    <t>Ibiza Marathon</t>
  </si>
  <si>
    <t>Talentum</t>
  </si>
  <si>
    <t>22 ; 12</t>
  </si>
  <si>
    <t>20km de Genève</t>
  </si>
  <si>
    <t>Association Genève Marathon</t>
  </si>
  <si>
    <t>Noosa</t>
  </si>
  <si>
    <t>Noosa Triathlon</t>
  </si>
  <si>
    <t>USM events Pty</t>
  </si>
  <si>
    <t>Sydney Harbour 10K</t>
  </si>
  <si>
    <t>Turin</t>
  </si>
  <si>
    <t>Torino city marathon</t>
  </si>
  <si>
    <t>Team Marathon</t>
  </si>
  <si>
    <t>Torino Road runners</t>
  </si>
  <si>
    <t>21K de Montréal</t>
  </si>
  <si>
    <t>Hallwil</t>
  </si>
  <si>
    <t>Hallwilerseelauf</t>
  </si>
  <si>
    <t>Hallwilersee Run</t>
  </si>
  <si>
    <t>Guadalajara Marathon</t>
  </si>
  <si>
    <t>Chester Half marathon</t>
  </si>
  <si>
    <t>Olomouc</t>
  </si>
  <si>
    <t>Mattoni Running Festival Olomouc</t>
  </si>
  <si>
    <t xml:space="preserve">Serbie </t>
  </si>
  <si>
    <t>Belgrade</t>
  </si>
  <si>
    <t>Belgrade Marathon</t>
  </si>
  <si>
    <t>Roumanie</t>
  </si>
  <si>
    <t>Napoca</t>
  </si>
  <si>
    <t>Wizz Air Napoca Marathon</t>
  </si>
  <si>
    <t>Runners Club Events</t>
  </si>
  <si>
    <t>Verone</t>
  </si>
  <si>
    <t>Romeo &amp; Giuletta Run Half marathon</t>
  </si>
  <si>
    <t>Verona Run Events</t>
  </si>
  <si>
    <t>Comune di Veroa &amp; Cittasane Verona</t>
  </si>
  <si>
    <t>Lodz</t>
  </si>
  <si>
    <t>Maraton Lodz</t>
  </si>
  <si>
    <t>Brasilia</t>
  </si>
  <si>
    <t xml:space="preserve">Maratona Monumental Brasilia </t>
  </si>
  <si>
    <t>Monumental Eventos Esportivos</t>
  </si>
  <si>
    <t>Little Rock</t>
  </si>
  <si>
    <t>Little Rock Marathon</t>
  </si>
  <si>
    <t>Jesolo</t>
  </si>
  <si>
    <t>Jesolo Moonlight HalfMarathon</t>
  </si>
  <si>
    <t>Heilbronn</t>
  </si>
  <si>
    <t xml:space="preserve">Heilbronner Trollinger Marathon </t>
  </si>
  <si>
    <t>Württembergischer Leichtathletik-Verband e.V.</t>
  </si>
  <si>
    <t>Bruells Ekiden</t>
  </si>
  <si>
    <t>Belfast city Marathon</t>
  </si>
  <si>
    <t>Belfast City Half Marathon</t>
  </si>
  <si>
    <t>Cordoba</t>
  </si>
  <si>
    <t>Media maraton de Cordoba</t>
  </si>
  <si>
    <t>Münster</t>
  </si>
  <si>
    <t>Münster Marathon</t>
  </si>
  <si>
    <t xml:space="preserve">Torn dera Val d'Aran </t>
  </si>
  <si>
    <t>Val d'Aran by UTMB</t>
  </si>
  <si>
    <t>Trail</t>
  </si>
  <si>
    <t>Christchurch</t>
  </si>
  <si>
    <t>Christchurch marathon</t>
  </si>
  <si>
    <t>Portsmouth</t>
  </si>
  <si>
    <t>Great South Run</t>
  </si>
  <si>
    <t>Missoula</t>
  </si>
  <si>
    <t>Missoula Marathon</t>
  </si>
  <si>
    <t>Run Wild Missoula - 501©3</t>
  </si>
  <si>
    <t>Gent Urban trail</t>
  </si>
  <si>
    <t>08 ;13</t>
  </si>
  <si>
    <t>Goa</t>
  </si>
  <si>
    <t>SKF Goa River Marathon</t>
  </si>
  <si>
    <t>SKF Goa River Marathon organisers</t>
  </si>
  <si>
    <t>Naples</t>
  </si>
  <si>
    <t>Napoli city half marathon</t>
  </si>
  <si>
    <t>Holmenkollstafetten</t>
  </si>
  <si>
    <t>TJALVE</t>
  </si>
  <si>
    <t>Bengaluru half Marathon</t>
  </si>
  <si>
    <t>OEM Oberelbe Marathon</t>
  </si>
  <si>
    <t>xperience sport &amp; events</t>
  </si>
  <si>
    <t>Danang</t>
  </si>
  <si>
    <t>Danang international Marathon</t>
  </si>
  <si>
    <t>Chester marathon</t>
  </si>
  <si>
    <t>Leon</t>
  </si>
  <si>
    <t>Maraton Leon</t>
  </si>
  <si>
    <t>Cracovie</t>
  </si>
  <si>
    <t>Cracovia Maraton</t>
  </si>
  <si>
    <t xml:space="preserve">Service public </t>
  </si>
  <si>
    <t>Zarzad Infrastruktury Sportowej w Krakowie</t>
  </si>
  <si>
    <t xml:space="preserve">Maratona Internacional de Sao Paulo </t>
  </si>
  <si>
    <t>Kerzers</t>
  </si>
  <si>
    <t xml:space="preserve">Kerzerslauf  </t>
  </si>
  <si>
    <t>Kerzerslauf</t>
  </si>
  <si>
    <t>Elche</t>
  </si>
  <si>
    <t>Media Elche</t>
  </si>
  <si>
    <t>Club de Atletismo Decatlon</t>
  </si>
  <si>
    <t xml:space="preserve">Lindau </t>
  </si>
  <si>
    <t>3-Länder-Marathon</t>
  </si>
  <si>
    <t>SEG Sport Event GmbH</t>
  </si>
  <si>
    <t>S25</t>
  </si>
  <si>
    <t>TOP Sportevents</t>
  </si>
  <si>
    <t>Cortina d'Ampezzo</t>
  </si>
  <si>
    <t xml:space="preserve">La sportiva Lavaredo Ultra Trail </t>
  </si>
  <si>
    <t>UTMB</t>
  </si>
  <si>
    <t>120 ; 80 ; 50 ; 20 ; 10</t>
  </si>
  <si>
    <t>Leverkusen</t>
  </si>
  <si>
    <t>EVL Halbmarathon Leverkusen</t>
  </si>
  <si>
    <t>Bengaluru 10K Challenge</t>
  </si>
  <si>
    <t>Woluwe</t>
  </si>
  <si>
    <t>15Km de Woluwe</t>
  </si>
  <si>
    <t>6 ; 15 ; 25 Trail</t>
  </si>
  <si>
    <t>Great 10K</t>
  </si>
  <si>
    <t>Mons</t>
  </si>
  <si>
    <t>Semi-marathon de Mons</t>
  </si>
  <si>
    <t>Pro Potsdam Schlösserlauf</t>
  </si>
  <si>
    <t>Stadtsportbund Potsdam e.</t>
  </si>
  <si>
    <t>Antalya</t>
  </si>
  <si>
    <t>Runtalya</t>
  </si>
  <si>
    <t xml:space="preserve">Turset Sports </t>
  </si>
  <si>
    <t>Chypre</t>
  </si>
  <si>
    <t>Limassol</t>
  </si>
  <si>
    <t>Limassol Marathon</t>
  </si>
  <si>
    <t>11 Blue Events</t>
  </si>
  <si>
    <t>Roma Appia Run</t>
  </si>
  <si>
    <t>20 &amp; 9</t>
  </si>
  <si>
    <t>ACSI Italua Atletica</t>
  </si>
  <si>
    <t>Fürth</t>
  </si>
  <si>
    <t>Sparkassen Metropolmarathon</t>
  </si>
  <si>
    <t>Würzburg</t>
  </si>
  <si>
    <t>Würzburg marathon</t>
  </si>
  <si>
    <t>Stadtmarathon Würzburg e.V.</t>
  </si>
  <si>
    <t>Padova</t>
  </si>
  <si>
    <t>Padova marathon</t>
  </si>
  <si>
    <t>ajout cette année des 10K</t>
  </si>
  <si>
    <t>Province de Liège semi marathon</t>
  </si>
  <si>
    <t>Zwolle</t>
  </si>
  <si>
    <t>Halve Marathon Zwolle</t>
  </si>
  <si>
    <t>Stadsloop Gent</t>
  </si>
  <si>
    <t>Stavanger</t>
  </si>
  <si>
    <t>3-Sjoerslopet</t>
  </si>
  <si>
    <t>Bologne</t>
  </si>
  <si>
    <t>Termal Bologna Marathon</t>
  </si>
  <si>
    <t>Bologna sport Marathon</t>
  </si>
  <si>
    <t>Rotorua</t>
  </si>
  <si>
    <t>Rotorua Marathon</t>
  </si>
  <si>
    <t>Athletics New Zealand</t>
  </si>
  <si>
    <t>Stramilano</t>
  </si>
  <si>
    <t>Stramilano Running Club</t>
  </si>
  <si>
    <t>Zugspitze</t>
  </si>
  <si>
    <t>Zugspitz Ultra Trail by UTMB</t>
  </si>
  <si>
    <t>166 ; 107 ; 86 ; 69 ; 44 ; 29 ; 16</t>
  </si>
  <si>
    <t>Mont-de-l'Enclus</t>
  </si>
  <si>
    <t>Trail du mont-de-l'enclus</t>
  </si>
  <si>
    <t>Trailrun.be</t>
  </si>
  <si>
    <t>35 ; 11 ; 26 ; 17</t>
  </si>
  <si>
    <t>filiale de SportEvents</t>
  </si>
  <si>
    <t>Rome 15K</t>
  </si>
  <si>
    <t>Forhans Team</t>
  </si>
  <si>
    <t>prestation</t>
  </si>
  <si>
    <t>Barchi</t>
  </si>
  <si>
    <t>ColleMar-athon</t>
  </si>
  <si>
    <t>Hyderabad</t>
  </si>
  <si>
    <t xml:space="preserve">Hyderabad 10K </t>
  </si>
  <si>
    <t>Juhu</t>
  </si>
  <si>
    <t>Lotus Juhu Half Marathon</t>
  </si>
  <si>
    <t>Mangalore</t>
  </si>
  <si>
    <t>Niveus Mangalore Marathon</t>
  </si>
  <si>
    <t xml:space="preserve">Mersin </t>
  </si>
  <si>
    <t>Mersin Marathon</t>
  </si>
  <si>
    <t xml:space="preserve">Gran Carrera del Mediterraneo </t>
  </si>
  <si>
    <t>Half Marathon Delhi</t>
  </si>
  <si>
    <t xml:space="preserve">Sonoma </t>
  </si>
  <si>
    <t>Napa To Sonama</t>
  </si>
  <si>
    <t>Dortmund</t>
  </si>
  <si>
    <t>Sparkassen Phoenix Halbmarathn</t>
  </si>
  <si>
    <t>upletics GmbH</t>
  </si>
  <si>
    <t>Koweït</t>
  </si>
  <si>
    <t>Kuwait</t>
  </si>
  <si>
    <t>Gulf Bank 642 Marathon</t>
  </si>
  <si>
    <t>Corrida de Santo Antonio</t>
  </si>
  <si>
    <t>Moena</t>
  </si>
  <si>
    <t>Marcia Longa</t>
  </si>
  <si>
    <t>Marcialonga</t>
  </si>
  <si>
    <t>26,5 ; relai</t>
  </si>
  <si>
    <t>Neapolis marathon</t>
  </si>
  <si>
    <t>Neaoplis marathon</t>
  </si>
  <si>
    <t>12,4 ; 7</t>
  </si>
  <si>
    <t>Palerme</t>
  </si>
  <si>
    <t>Maratona di Palermo</t>
  </si>
  <si>
    <t>Media@</t>
  </si>
  <si>
    <t>Vitoria-Gasteiz</t>
  </si>
  <si>
    <t>Maraton Martin Fix Maratoia</t>
  </si>
  <si>
    <t>Ascentium</t>
  </si>
  <si>
    <t>Garda</t>
  </si>
  <si>
    <t>Half Marathon Garda Trentino</t>
  </si>
  <si>
    <t xml:space="preserve">Trentino Eventi </t>
  </si>
  <si>
    <t>Santa Lucia de Tirajana</t>
  </si>
  <si>
    <t>Trans GranCanaria</t>
  </si>
  <si>
    <t>Arista Eventos S.L.U.</t>
  </si>
  <si>
    <t>125 ; 81 ; 46 ; 23</t>
  </si>
  <si>
    <t>Nieuport</t>
  </si>
  <si>
    <t>Nieuwpoort Marathon</t>
  </si>
  <si>
    <t>Long course week end</t>
  </si>
  <si>
    <t>Rimini</t>
  </si>
  <si>
    <t>Rimini marathon</t>
  </si>
  <si>
    <t>UISP</t>
  </si>
  <si>
    <t>Bergame</t>
  </si>
  <si>
    <t>Bergamo21</t>
  </si>
  <si>
    <t xml:space="preserve">Tunisie </t>
  </si>
  <si>
    <t>Tunis</t>
  </si>
  <si>
    <t>Marathon Comar Tunis-Carthage</t>
  </si>
  <si>
    <t>FTA</t>
  </si>
  <si>
    <t>Poseidon Athens Half Marathon</t>
  </si>
  <si>
    <t>Trocadero Sport &amp; Culture Association</t>
  </si>
  <si>
    <t>Phuket</t>
  </si>
  <si>
    <t>Phuket marathon</t>
  </si>
  <si>
    <t xml:space="preserve">GAA Events </t>
  </si>
  <si>
    <t>Salomon New shapers run</t>
  </si>
  <si>
    <t>Laguna running</t>
  </si>
  <si>
    <t>Non compétitif / création pour les JO</t>
  </si>
  <si>
    <t xml:space="preserve">Monaco </t>
  </si>
  <si>
    <t>Monaco Run</t>
  </si>
  <si>
    <t xml:space="preserve">urban trail &amp; trail </t>
  </si>
  <si>
    <t>Fédération Monégasque d’Athlétisme</t>
  </si>
  <si>
    <t>Savannah</t>
  </si>
  <si>
    <t>Savannah Southern Half</t>
  </si>
  <si>
    <t>Genes</t>
  </si>
  <si>
    <t>Mezza di Genova</t>
  </si>
  <si>
    <t>ASD PODISTICA PERALTO GENOVA</t>
  </si>
  <si>
    <t>Waterfront Half Marathon</t>
  </si>
  <si>
    <t>Running Events</t>
  </si>
  <si>
    <t>Mysore</t>
  </si>
  <si>
    <t>Mysuru Marathon</t>
  </si>
  <si>
    <t>Monza</t>
  </si>
  <si>
    <t>Monza21</t>
  </si>
  <si>
    <t>SportScheck Run Hamburg</t>
  </si>
  <si>
    <t>15 ; 7,5</t>
  </si>
  <si>
    <t>Waterford</t>
  </si>
  <si>
    <t>Waterford Viking Marathon</t>
  </si>
  <si>
    <t xml:space="preserve">Usti nad Labem </t>
  </si>
  <si>
    <t>Mattoni Running Festival Usti Nad Labem</t>
  </si>
  <si>
    <t>Ceske Budejovice</t>
  </si>
  <si>
    <t>Mattoni Running Festival Ceské Budejovice</t>
  </si>
  <si>
    <t xml:space="preserve">Sapa </t>
  </si>
  <si>
    <t>Vietnam Mountain Marathon</t>
  </si>
  <si>
    <t xml:space="preserve">Trail </t>
  </si>
  <si>
    <t>70 ; 50 ; 100</t>
  </si>
  <si>
    <t>Malines</t>
  </si>
  <si>
    <t>Urban Trail Mechelen</t>
  </si>
  <si>
    <t>8 ; 12</t>
  </si>
  <si>
    <t>Albacete</t>
  </si>
  <si>
    <t xml:space="preserve">Medio Maraton Albacete </t>
  </si>
  <si>
    <t>IIT Bombay Half Marathon</t>
  </si>
  <si>
    <t>Fitizen Sports Events</t>
  </si>
  <si>
    <t>Brescia</t>
  </si>
  <si>
    <t>Brescia art marathon</t>
  </si>
  <si>
    <t>Rosa Running Team</t>
  </si>
  <si>
    <t>Wellington Marathon</t>
  </si>
  <si>
    <t>MDJ Media &amp; Events Ltd</t>
  </si>
  <si>
    <t>Half marathon Firenze</t>
  </si>
  <si>
    <t>Ostende</t>
  </si>
  <si>
    <t>Besox Halve Van Oostende</t>
  </si>
  <si>
    <t>Almeria</t>
  </si>
  <si>
    <t>Medio Maraton Almeria</t>
  </si>
  <si>
    <t>Cooperacion 2005</t>
  </si>
  <si>
    <t>Premiär Halvan</t>
  </si>
  <si>
    <t>Maasmechelen</t>
  </si>
  <si>
    <t>National park marathon</t>
  </si>
  <si>
    <t>7 ; 14</t>
  </si>
  <si>
    <t>Le Caire</t>
  </si>
  <si>
    <t>Cairo Marathon</t>
  </si>
  <si>
    <t>Cairo Runners</t>
  </si>
  <si>
    <t>Salto 15K Donostia San Sebastian</t>
  </si>
  <si>
    <t xml:space="preserve">Donosti </t>
  </si>
  <si>
    <t>Liban</t>
  </si>
  <si>
    <t>Beyrouth</t>
  </si>
  <si>
    <t xml:space="preserve">Run the City </t>
  </si>
  <si>
    <t>Septembre</t>
  </si>
  <si>
    <t>Beirut Marathon Association</t>
  </si>
  <si>
    <t xml:space="preserve">X </t>
  </si>
  <si>
    <t xml:space="preserve">Chianti </t>
  </si>
  <si>
    <t xml:space="preserve">Chianti Ultra trail </t>
  </si>
  <si>
    <t>120 ; 46  100 ; 50</t>
  </si>
  <si>
    <t xml:space="preserve">Chianti Ultra Trail </t>
  </si>
  <si>
    <t xml:space="preserve">Decathlon Night Run Budapest </t>
  </si>
  <si>
    <t>Croatie</t>
  </si>
  <si>
    <t>Zagreb</t>
  </si>
  <si>
    <t>Zagreb Marathon</t>
  </si>
  <si>
    <t>Gurgaon</t>
  </si>
  <si>
    <t>Gurugram Half Marathon</t>
  </si>
  <si>
    <t>Maasmarathon</t>
  </si>
  <si>
    <t>ASBL Maasmarathon de la Meuse</t>
  </si>
  <si>
    <t>Kuusamo</t>
  </si>
  <si>
    <t>NUTS Karhunkierros</t>
  </si>
  <si>
    <t>Northern Ultra Trail Service</t>
  </si>
  <si>
    <t>34 ; 55 ; 83 ; 16 ; 166</t>
  </si>
  <si>
    <t>Groningue</t>
  </si>
  <si>
    <t>UrbanTrail Groningen</t>
  </si>
  <si>
    <t>6 ; 11</t>
  </si>
  <si>
    <t>La liégeoise Women Only</t>
  </si>
  <si>
    <t>Women race</t>
  </si>
  <si>
    <t>11 ; 7 ; 4</t>
  </si>
  <si>
    <t>Chandigarh</t>
  </si>
  <si>
    <t>Chandigarh International Marathon</t>
  </si>
  <si>
    <t>Skyaim Events</t>
  </si>
  <si>
    <t>Premiär  Milen</t>
  </si>
  <si>
    <t>Mumbai Midnight 10K</t>
  </si>
  <si>
    <t>Midnight Run organisers</t>
  </si>
  <si>
    <t>Cairns</t>
  </si>
  <si>
    <t xml:space="preserve">Cairns Marathon Festival </t>
  </si>
  <si>
    <t>Hull</t>
  </si>
  <si>
    <t xml:space="preserve">Hull 10K </t>
  </si>
  <si>
    <t>Corrida de Bruxelles</t>
  </si>
  <si>
    <t>Sport &amp; tourism promotion</t>
  </si>
  <si>
    <t xml:space="preserve">Chouffe trail </t>
  </si>
  <si>
    <t>23 ; 11 ; 28 ; 100</t>
  </si>
  <si>
    <t>Bijlmer run</t>
  </si>
  <si>
    <t>Bijlmer sport</t>
  </si>
  <si>
    <t>Bucaramanga</t>
  </si>
  <si>
    <t>Media Maraton Bucaramanga</t>
  </si>
  <si>
    <t>Hospital Internacional de Colombia</t>
  </si>
  <si>
    <t>Bengaluru Midnight Marathon</t>
  </si>
  <si>
    <t>Tenerife</t>
  </si>
  <si>
    <t>Tenerife BlueTrail by UTMB</t>
  </si>
  <si>
    <t xml:space="preserve">IDECO </t>
  </si>
  <si>
    <t>10 ; 74 ; 47 ; 24</t>
  </si>
  <si>
    <t>event UTMB</t>
  </si>
  <si>
    <t>Pise</t>
  </si>
  <si>
    <t>Maratona di Pisa</t>
  </si>
  <si>
    <t>1063AD &amp; TriO Events</t>
  </si>
  <si>
    <t>Split</t>
  </si>
  <si>
    <t>Split Marathon</t>
  </si>
  <si>
    <t>Split Marathon Sport Club</t>
  </si>
  <si>
    <t>Media Maraton Zaragoza</t>
  </si>
  <si>
    <t>Running Zgz</t>
  </si>
  <si>
    <t xml:space="preserve">Magdeburg </t>
  </si>
  <si>
    <t>Magdeburg Marathon</t>
  </si>
  <si>
    <t>VLG 1991 Magdeburg</t>
  </si>
  <si>
    <t xml:space="preserve">Allemagne </t>
  </si>
  <si>
    <t>Roth</t>
  </si>
  <si>
    <t>Challenge Roth</t>
  </si>
  <si>
    <t>Team Challenge GmbH</t>
  </si>
  <si>
    <t>Puurs</t>
  </si>
  <si>
    <t>Great Breweries</t>
  </si>
  <si>
    <t>17 ; 25</t>
  </si>
  <si>
    <t>Salomon Run Barcelona</t>
  </si>
  <si>
    <t>OCI Sport</t>
  </si>
  <si>
    <t>Mont-Tremblant</t>
  </si>
  <si>
    <t>Demi-Marathon de Mont-Tremblant</t>
  </si>
  <si>
    <t>Les Productions Out To Play</t>
  </si>
  <si>
    <t>UrbanTrail Brussels</t>
  </si>
  <si>
    <t>7 ; 12</t>
  </si>
  <si>
    <t>Val-de-Thevers</t>
  </si>
  <si>
    <t xml:space="preserve">Swiss Canyon Trail </t>
  </si>
  <si>
    <t>111 ; 81 ; 51 ; 31 ; 16</t>
  </si>
  <si>
    <t>Francorchamps</t>
  </si>
  <si>
    <t>Spa-Francorchamps Run</t>
  </si>
  <si>
    <t>Running Events BV</t>
  </si>
  <si>
    <t>Salomon Ultra Pirineu</t>
  </si>
  <si>
    <t>Pangea Attitude</t>
  </si>
  <si>
    <t>Malibu</t>
  </si>
  <si>
    <t>Run Malibu</t>
  </si>
  <si>
    <t>Lucknow</t>
  </si>
  <si>
    <t>Lucknow Marathon</t>
  </si>
  <si>
    <t>Pune</t>
  </si>
  <si>
    <t xml:space="preserve">Federal Bank Pune Marathon </t>
  </si>
  <si>
    <t>Women's 5K Run Prague</t>
  </si>
  <si>
    <t xml:space="preserve">La mezza di Torino </t>
  </si>
  <si>
    <t>Base Running TO200</t>
  </si>
  <si>
    <t>UrbanTrail Utrecht</t>
  </si>
  <si>
    <t>Kolkata Full Marathon</t>
  </si>
  <si>
    <t>Trevise</t>
  </si>
  <si>
    <t>Conegliano Valdobbiadene Prosecco Running festival</t>
  </si>
  <si>
    <t>ultra trail</t>
  </si>
  <si>
    <t>Beer Lovers' Marathon</t>
  </si>
  <si>
    <t>BR-Event ASBL</t>
  </si>
  <si>
    <t>Huy</t>
  </si>
  <si>
    <t>Huy Night Run</t>
  </si>
  <si>
    <t>1,8 ; 5.9</t>
  </si>
  <si>
    <t>Rock'n'Roll Taipei</t>
  </si>
  <si>
    <t>Middlesbrough</t>
  </si>
  <si>
    <t>Middlesbrough half marathon</t>
  </si>
  <si>
    <t>We Run rome</t>
  </si>
  <si>
    <t>Atletico</t>
  </si>
  <si>
    <t>Ankara</t>
  </si>
  <si>
    <t>Runkara International Half Marathon</t>
  </si>
  <si>
    <t>Dazspor</t>
  </si>
  <si>
    <t>Bucharest</t>
  </si>
  <si>
    <t>Bucharest international half marathon</t>
  </si>
  <si>
    <t xml:space="preserve">Asociatia club sportiv constantina dita </t>
  </si>
  <si>
    <t>Norwich</t>
  </si>
  <si>
    <t>Norwich Half Marathon</t>
  </si>
  <si>
    <t>Good running events</t>
  </si>
  <si>
    <t>Madeire</t>
  </si>
  <si>
    <t xml:space="preserve">Madeira Island Ultra Trail </t>
  </si>
  <si>
    <t>115 ; 85 ; 60 ; 42 ; 16</t>
  </si>
  <si>
    <t>Lincoln</t>
  </si>
  <si>
    <t>Lincoln Half Marathon</t>
  </si>
  <si>
    <t>UrbanTrail Eindhoven</t>
  </si>
  <si>
    <t>La roche-en-Ardenne</t>
  </si>
  <si>
    <t xml:space="preserve">Trail de la soupe </t>
  </si>
  <si>
    <t>12 ; 15 ; 20 ; 25 ; 34 ; 45</t>
  </si>
  <si>
    <t>Remich</t>
  </si>
  <si>
    <t>La route du vin</t>
  </si>
  <si>
    <t>urbantrail de Luxembourg</t>
  </si>
  <si>
    <t>Charleroi</t>
  </si>
  <si>
    <t>Charleroi marathon</t>
  </si>
  <si>
    <t>Vitafun</t>
  </si>
  <si>
    <t>Ultra-Trail Cape Town</t>
  </si>
  <si>
    <t xml:space="preserve">Summit Events Pty </t>
  </si>
  <si>
    <t>16 ; 23 ; 35 ; 55 ; 100 ; 100 Miles</t>
  </si>
  <si>
    <t xml:space="preserve">CMP Venice Night Trail </t>
  </si>
  <si>
    <t>Newcastle-Gateshead Marathon</t>
  </si>
  <si>
    <t>SportScheck Run Köln</t>
  </si>
  <si>
    <t>Altötting</t>
  </si>
  <si>
    <t>Halbmaratho Altötting</t>
  </si>
  <si>
    <t>TOP SPORT ET PUBLICITÉ</t>
  </si>
  <si>
    <t>Irun</t>
  </si>
  <si>
    <t>Media Maraton Bidasoa</t>
  </si>
  <si>
    <t>Super Amara Bidasoa Atletiko Taldea</t>
  </si>
  <si>
    <t xml:space="preserve">Salamanque </t>
  </si>
  <si>
    <t>Media Maraton Ciudad de Salamanca</t>
  </si>
  <si>
    <t>Club Deportivo Popular Media Maraton Ciudad de Salamanca</t>
  </si>
  <si>
    <t>Polar Night Marathon</t>
  </si>
  <si>
    <t>Sabaudia</t>
  </si>
  <si>
    <t>Maratona Maga Circe</t>
  </si>
  <si>
    <t>29 ; 9,8</t>
  </si>
  <si>
    <t>In corsa libera</t>
  </si>
  <si>
    <t>Cuba</t>
  </si>
  <si>
    <t>La Havane</t>
  </si>
  <si>
    <t>Havana marathon</t>
  </si>
  <si>
    <t>RPM Sports</t>
  </si>
  <si>
    <t>Coventry</t>
  </si>
  <si>
    <t>Coventry Half marathon</t>
  </si>
  <si>
    <t>Parme</t>
  </si>
  <si>
    <t>Marathon di Parma</t>
  </si>
  <si>
    <t>Parmarathon</t>
  </si>
  <si>
    <t>Hyderabad Hitec Marathon</t>
  </si>
  <si>
    <t>Gdansk</t>
  </si>
  <si>
    <t>Energa Gdansk Marathon</t>
  </si>
  <si>
    <t>Energy Events</t>
  </si>
  <si>
    <t>Essen</t>
  </si>
  <si>
    <t>Westenergie marathon</t>
  </si>
  <si>
    <t>TUSEM</t>
  </si>
  <si>
    <t>Palmanova</t>
  </si>
  <si>
    <t>Mezza Maratona Citta di Palmanova</t>
  </si>
  <si>
    <t>Eventi Sportivi Palmanova</t>
  </si>
  <si>
    <t>Bajaj Pune Marathon</t>
  </si>
  <si>
    <t>India Running</t>
  </si>
  <si>
    <t>Salsomaggiore</t>
  </si>
  <si>
    <t>Verdi Marathon</t>
  </si>
  <si>
    <t>Leyde</t>
  </si>
  <si>
    <t>Leiden Marathon</t>
  </si>
  <si>
    <t>Victoria Park Half marathon</t>
  </si>
  <si>
    <t>Forli</t>
  </si>
  <si>
    <t>White marble marathon</t>
  </si>
  <si>
    <t>Starforli Team</t>
  </si>
  <si>
    <t>Rimini marathon unstoppable</t>
  </si>
  <si>
    <t>Trente</t>
  </si>
  <si>
    <t>Trento Running Festival</t>
  </si>
  <si>
    <t>Citta Di Trento</t>
  </si>
  <si>
    <t>Terni</t>
  </si>
  <si>
    <t>Maratona di san valentino</t>
  </si>
  <si>
    <t>Amatori Podistica Terni</t>
  </si>
  <si>
    <t>Cancun</t>
  </si>
  <si>
    <t xml:space="preserve">1/2 Maraton de la Mujer </t>
  </si>
  <si>
    <t>Esch-sur-Alzette</t>
  </si>
  <si>
    <t>Sudstroum escher kulturlaf</t>
  </si>
  <si>
    <t>Escher Kurturlaf</t>
  </si>
  <si>
    <t>J.P Morgan City Jogging</t>
  </si>
  <si>
    <t>Gratuit</t>
  </si>
  <si>
    <t>FLA</t>
  </si>
  <si>
    <t xml:space="preserve">Garda Trentino Trail </t>
  </si>
  <si>
    <t>Baraque de Fraiture</t>
  </si>
  <si>
    <t>Epic Trail Baraque de Fraiture</t>
  </si>
  <si>
    <t>20 ; 36 ; 48; 78;100</t>
  </si>
  <si>
    <t xml:space="preserve">Bodh Gaya </t>
  </si>
  <si>
    <t>Bodhgaya Marathon</t>
  </si>
  <si>
    <t>Bodh Gaya Marathon Committee</t>
  </si>
  <si>
    <t>Lucknow Half</t>
  </si>
  <si>
    <t>The Centrum / Lucknow Run organisers</t>
  </si>
  <si>
    <t>RunForLife</t>
  </si>
  <si>
    <t>Gamber de Cuncures</t>
  </si>
  <si>
    <t>Solvang</t>
  </si>
  <si>
    <t>Santa Barbara Wine Country Half</t>
  </si>
  <si>
    <t>Relai</t>
  </si>
  <si>
    <t>Sierre</t>
  </si>
  <si>
    <t xml:space="preserve">Sierre-Zinal </t>
  </si>
  <si>
    <t>Sierre Zinal</t>
  </si>
  <si>
    <t>San Remo</t>
  </si>
  <si>
    <t>SanRemo Marathon</t>
  </si>
  <si>
    <t>Comitato Organizzatore Sanremo Marathon</t>
  </si>
  <si>
    <t>Rostock</t>
  </si>
  <si>
    <t xml:space="preserve">marathon halb marathon rostocker </t>
  </si>
  <si>
    <t>Plaisance</t>
  </si>
  <si>
    <t>Placentia half marathon</t>
  </si>
  <si>
    <t>Placentia</t>
  </si>
  <si>
    <t>Parma Mezza maratona</t>
  </si>
  <si>
    <t xml:space="preserve">Cus Parma </t>
  </si>
  <si>
    <t>Bari</t>
  </si>
  <si>
    <t>Med marathon</t>
  </si>
  <si>
    <t>Ecotrail Oslo</t>
  </si>
  <si>
    <t>EcoTrail</t>
  </si>
  <si>
    <t>80 ; 50 ; 31</t>
  </si>
  <si>
    <t>Hampton court</t>
  </si>
  <si>
    <t>Hampton Court Palace Half Marathon</t>
  </si>
  <si>
    <t>DKV UrbanTrail</t>
  </si>
  <si>
    <t>34 ; 27 ; 18 ; 14</t>
  </si>
  <si>
    <t>Comacchio</t>
  </si>
  <si>
    <t>Comacchio Half Marathon</t>
  </si>
  <si>
    <t xml:space="preserve">Corri a tor Vergata </t>
  </si>
  <si>
    <t>Pembrey</t>
  </si>
  <si>
    <t>Great Welsh Marathon</t>
  </si>
  <si>
    <t xml:space="preserve">FrontRunner Events </t>
  </si>
  <si>
    <t>Le Markstein</t>
  </si>
  <si>
    <t>Trail du Grand Ballon</t>
  </si>
  <si>
    <t>80 ; 60 ; 45 ; 35 ; 25 ; 20</t>
  </si>
  <si>
    <t>Trail de Bruxelles</t>
  </si>
  <si>
    <t>Levico</t>
  </si>
  <si>
    <t>La trenta trentina</t>
  </si>
  <si>
    <t>30 ; 12</t>
  </si>
  <si>
    <t>Huelva</t>
  </si>
  <si>
    <t>Media Marton Ciudad de Huelva</t>
  </si>
  <si>
    <t>Formentera</t>
  </si>
  <si>
    <t>15K Formentera Sunset Run</t>
  </si>
  <si>
    <t>Pallas-Yllästunturi</t>
  </si>
  <si>
    <t>NUTS Ylläs Pallas</t>
  </si>
  <si>
    <t>160 ; 100 ; 66 ; 37 ; 15</t>
  </si>
  <si>
    <t>Dolo</t>
  </si>
  <si>
    <t>Dogi's Half Marathon</t>
  </si>
  <si>
    <t>Atletica Riviera del Brenta</t>
  </si>
  <si>
    <t>Northampton</t>
  </si>
  <si>
    <t>The Amazing Northampton run</t>
  </si>
  <si>
    <t>The Amazing Northampton Run CIC</t>
  </si>
  <si>
    <t>La mezza di Treviso</t>
  </si>
  <si>
    <t>Bettiol sport events</t>
  </si>
  <si>
    <t>Tri Veneto Run</t>
  </si>
  <si>
    <t>Agra</t>
  </si>
  <si>
    <t>Agra Taj Half Marathon</t>
  </si>
  <si>
    <t>Tossa de Mar</t>
  </si>
  <si>
    <t>Run Festival Tossa de Mar</t>
  </si>
  <si>
    <t>wefeel events</t>
  </si>
  <si>
    <t xml:space="preserve"> </t>
  </si>
  <si>
    <t>Trail : 8 ; 15</t>
  </si>
  <si>
    <t>Binche</t>
  </si>
  <si>
    <t>Semi marathon de Binche</t>
  </si>
  <si>
    <t>6 ; 12</t>
  </si>
  <si>
    <t>Funny Running Team</t>
  </si>
  <si>
    <t>Verviers</t>
  </si>
  <si>
    <t>Work'n Run</t>
  </si>
  <si>
    <t>Vicenza</t>
  </si>
  <si>
    <t xml:space="preserve">Ultrabericus Trail </t>
  </si>
  <si>
    <t>65 ; 45</t>
  </si>
  <si>
    <t>Associazione Sportiva Dilettantistica Ultrabericus Team</t>
  </si>
  <si>
    <t>Latina</t>
  </si>
  <si>
    <t>Mezza maratona di Latina</t>
  </si>
  <si>
    <t>Trieste</t>
  </si>
  <si>
    <t>Trieste21</t>
  </si>
  <si>
    <t>Trivandrum</t>
  </si>
  <si>
    <t>UST Trivandrum Marathon</t>
  </si>
  <si>
    <t>Rewe Women's Run</t>
  </si>
  <si>
    <t>Beirut International Marathon</t>
  </si>
  <si>
    <t>Pamplume</t>
  </si>
  <si>
    <t>Media Maraton Pamplona</t>
  </si>
  <si>
    <t>Girona</t>
  </si>
  <si>
    <t>Marato Vies Verdes</t>
  </si>
  <si>
    <t>Stat Sport club</t>
  </si>
  <si>
    <t>Bosmarathon</t>
  </si>
  <si>
    <t>Pescara</t>
  </si>
  <si>
    <t>Maratonina del Mare</t>
  </si>
  <si>
    <t>Run for Fun</t>
  </si>
  <si>
    <t>6,5 ; 2,5</t>
  </si>
  <si>
    <t>Bournemouth</t>
  </si>
  <si>
    <t>Run Bournemouth</t>
  </si>
  <si>
    <t>Rolling Half</t>
  </si>
  <si>
    <t>Février</t>
  </si>
  <si>
    <t>Coxyde</t>
  </si>
  <si>
    <t>North C Trail</t>
  </si>
  <si>
    <t>13 ; 22 ; 33</t>
  </si>
  <si>
    <t>Beitostolen</t>
  </si>
  <si>
    <t>Norske Fjell Marathon</t>
  </si>
  <si>
    <t>Det Norske Fjellmaraton</t>
  </si>
  <si>
    <t>Bouillon</t>
  </si>
  <si>
    <t>Castle Trail Bouillon</t>
  </si>
  <si>
    <t>20 ; 35 ; 50</t>
  </si>
  <si>
    <t>Dour</t>
  </si>
  <si>
    <t>21KM.BE - Semi marathon de Dour</t>
  </si>
  <si>
    <t>11,5 ; 6,1</t>
  </si>
  <si>
    <t>20KM de la forêt de Soignes</t>
  </si>
  <si>
    <t>Faro</t>
  </si>
  <si>
    <t>Faro Half Marathon</t>
  </si>
  <si>
    <t>Leicester</t>
  </si>
  <si>
    <t>Leicester 10K</t>
  </si>
  <si>
    <t>Dosti Thane Half Marathon</t>
  </si>
  <si>
    <t xml:space="preserve">Playfree Sports India </t>
  </si>
  <si>
    <t xml:space="preserve">UrbanTrail Leiden </t>
  </si>
  <si>
    <t>Palermo international half marathon</t>
  </si>
  <si>
    <t>Running sicily</t>
  </si>
  <si>
    <t>Neudorf</t>
  </si>
  <si>
    <t>Lëtz Go gold</t>
  </si>
  <si>
    <t>Fondation Kriibskrank Kanner</t>
  </si>
  <si>
    <t>Gulpen</t>
  </si>
  <si>
    <t>Heuvelland Marathon</t>
  </si>
  <si>
    <t>Braga</t>
  </si>
  <si>
    <t>Meia maratona de Braga</t>
  </si>
  <si>
    <t xml:space="preserve">11 event au Portugal </t>
  </si>
  <si>
    <t>Lochaber</t>
  </si>
  <si>
    <t>Skyline Scotland</t>
  </si>
  <si>
    <t xml:space="preserve">Ourea Events </t>
  </si>
  <si>
    <t>Maastricht</t>
  </si>
  <si>
    <t>Maastricht Marathon</t>
  </si>
  <si>
    <t>Bibione</t>
  </si>
  <si>
    <t>Bibione half marathon</t>
  </si>
  <si>
    <t>Moving factory</t>
  </si>
  <si>
    <t xml:space="preserve">Cagliari </t>
  </si>
  <si>
    <t xml:space="preserve">Cagliari Urban trail </t>
  </si>
  <si>
    <t xml:space="preserve">Cagliari Urban Trail </t>
  </si>
  <si>
    <t>Sienne</t>
  </si>
  <si>
    <t>Terre di Siena Ultramarathon</t>
  </si>
  <si>
    <t>UISP COMITATO DI SIENA    </t>
  </si>
  <si>
    <t>50 ; 18 ; 32</t>
  </si>
  <si>
    <t>Differdange</t>
  </si>
  <si>
    <t>Steel run differdance</t>
  </si>
  <si>
    <t>Festival sport nature Hamoir</t>
  </si>
  <si>
    <t>Ekiden de Liège</t>
  </si>
  <si>
    <t>Infigo</t>
  </si>
  <si>
    <t>Drammen</t>
  </si>
  <si>
    <t>DrammenDrammen Halv Maraton</t>
  </si>
  <si>
    <t>Run DRM</t>
  </si>
  <si>
    <t xml:space="preserve">Bergamo UrbanTrail </t>
  </si>
  <si>
    <t>7 févrer</t>
  </si>
  <si>
    <t>Bahreïn</t>
  </si>
  <si>
    <t>Bahrain Night Half Marathon</t>
  </si>
  <si>
    <t>Bahrain Athletics Association</t>
  </si>
  <si>
    <t>Indore</t>
  </si>
  <si>
    <t>Indore Marathon</t>
  </si>
  <si>
    <t>Arménie</t>
  </si>
  <si>
    <t>Yerevan</t>
  </si>
  <si>
    <t>Yerevan Marathon</t>
  </si>
  <si>
    <t>Octobre</t>
  </si>
  <si>
    <t>12K</t>
  </si>
  <si>
    <t>Women's Race</t>
  </si>
  <si>
    <t>Ushuaia Fin del Mundo by UTMB</t>
  </si>
  <si>
    <t>126 ; 88 ; 50 ; 33 ; 22 ; 13</t>
  </si>
  <si>
    <t>UrbanTrail of Rotterdam</t>
  </si>
  <si>
    <t>UrbanTrail Haarlem</t>
  </si>
  <si>
    <t>Bahia</t>
  </si>
  <si>
    <t>Ultra-Trail Chapada Diamantina</t>
  </si>
  <si>
    <t xml:space="preserve">Alquezar </t>
  </si>
  <si>
    <t xml:space="preserve">Ultra Trail Guara Somontano </t>
  </si>
  <si>
    <t>163 ; 110 ; 75 ; 55 ; 32</t>
  </si>
  <si>
    <t>Trois-Ponts</t>
  </si>
  <si>
    <t>Trail de l'ours</t>
  </si>
  <si>
    <t>50 ; 36 ; 24 ; 10</t>
  </si>
  <si>
    <t>Terhills Trail</t>
  </si>
  <si>
    <t>15 ; 25 ; 35 ; 50</t>
  </si>
  <si>
    <t xml:space="preserve">Breme </t>
  </si>
  <si>
    <t>SWB Marathon de Brême</t>
  </si>
  <si>
    <t>Santa Cruz</t>
  </si>
  <si>
    <t>Santa Cruz Marathon</t>
  </si>
  <si>
    <t>Running Lab Run</t>
  </si>
  <si>
    <t>Outdoor Venture</t>
  </si>
  <si>
    <t xml:space="preserve">Lusail </t>
  </si>
  <si>
    <t>QOC Half Martahon</t>
  </si>
  <si>
    <t>Qatar Olympic Commitee</t>
  </si>
  <si>
    <t>San Martin de los Andes</t>
  </si>
  <si>
    <t>Patagonia Run</t>
  </si>
  <si>
    <t xml:space="preserve">Spartan Trail </t>
  </si>
  <si>
    <t>170 ; 110; 70</t>
  </si>
  <si>
    <t>Torres del Paine</t>
  </si>
  <si>
    <t>Patagonia International Marathon</t>
  </si>
  <si>
    <t xml:space="preserve">Racing Patagonia </t>
  </si>
  <si>
    <t>30 ; 15</t>
  </si>
  <si>
    <t>Nottingham</t>
  </si>
  <si>
    <t>Nottingham 10K</t>
  </si>
  <si>
    <t>MoRunning Cardiff</t>
  </si>
  <si>
    <t>FixEvents</t>
  </si>
  <si>
    <t>Terrassa</t>
  </si>
  <si>
    <t>Mitja Marato Terrassa</t>
  </si>
  <si>
    <t>Kyoto</t>
  </si>
  <si>
    <t>Kyoto Marathon</t>
  </si>
  <si>
    <t>Hong Kong 100 Ultra Marathon</t>
  </si>
  <si>
    <t>Association des affiliés d’athlétisme de Hong Kong, Chine</t>
  </si>
  <si>
    <t>Hervey Bay</t>
  </si>
  <si>
    <t>Hervey Bay Half marathon festival</t>
  </si>
  <si>
    <t>Groningen</t>
  </si>
  <si>
    <t>Halve Marathon</t>
  </si>
  <si>
    <t>Grenade</t>
  </si>
  <si>
    <t>Granada Media maraton</t>
  </si>
  <si>
    <t>Gijon</t>
  </si>
  <si>
    <t>Gijon Half Marathon</t>
  </si>
  <si>
    <t>Eskisehir</t>
  </si>
  <si>
    <t>Eskisehir Kurtulus Half Marathon</t>
  </si>
  <si>
    <t>Bursa</t>
  </si>
  <si>
    <t>Eker Run</t>
  </si>
  <si>
    <t xml:space="preserve">Ulm </t>
  </si>
  <si>
    <t xml:space="preserve">Einstein Marathon </t>
  </si>
  <si>
    <t>SUN Sportmanagement GmbG</t>
  </si>
  <si>
    <t>Henley</t>
  </si>
  <si>
    <t>Ciderthon</t>
  </si>
  <si>
    <t>Chiang Mai</t>
  </si>
  <si>
    <t>Chiang Mai Thailand by UTMB</t>
  </si>
  <si>
    <t>39 ; 20 ; 96 ; 56 ; 168</t>
  </si>
  <si>
    <t>Acaya</t>
  </si>
  <si>
    <t>21km Tras storia e natura</t>
  </si>
  <si>
    <t xml:space="preserve">12,5 ; 7,5 </t>
  </si>
  <si>
    <t>GDPM Lecce</t>
  </si>
  <si>
    <t>Palanpur</t>
  </si>
  <si>
    <t>Palanpur Half Marathon</t>
  </si>
  <si>
    <t>LS Sports</t>
  </si>
  <si>
    <t>Andaman</t>
  </si>
  <si>
    <t>Island Ultra &amp; Half Marathon</t>
  </si>
  <si>
    <t>30 ; 50 ; 3</t>
  </si>
  <si>
    <t>Durgapur</t>
  </si>
  <si>
    <t>JBG Durgapur Marathon</t>
  </si>
  <si>
    <t>JBG Durgapur Marathon organisers</t>
  </si>
  <si>
    <t>Udupi</t>
  </si>
  <si>
    <t>Udupi Full Marathon</t>
  </si>
  <si>
    <t>Jodphur Marathon</t>
  </si>
  <si>
    <t>Equathon Kolkata</t>
  </si>
  <si>
    <t>Girish Park 5 Star Sporting Club</t>
  </si>
  <si>
    <t>Valsad</t>
  </si>
  <si>
    <t>Wilson Ultra Marathon</t>
  </si>
  <si>
    <t>18th kilometer</t>
  </si>
  <si>
    <t>50 ; 35</t>
  </si>
  <si>
    <t>Jaipur Marathon</t>
  </si>
  <si>
    <t>Sanskriti Yuva Sanstha</t>
  </si>
  <si>
    <t>19 ; 6</t>
  </si>
  <si>
    <t>DDR Dwarka Half Marathon</t>
  </si>
  <si>
    <t>GM Half Marathon</t>
  </si>
  <si>
    <t>Goregaon Sports Club</t>
  </si>
  <si>
    <t>Mahad</t>
  </si>
  <si>
    <t>Birla Opus Half Marathon</t>
  </si>
  <si>
    <t>YouTooCanRun</t>
  </si>
  <si>
    <t>Noida</t>
  </si>
  <si>
    <t>Group 108 Half Marathon</t>
  </si>
  <si>
    <t>Piku Sports</t>
  </si>
  <si>
    <t>24H Stadium Run New Delhi</t>
  </si>
  <si>
    <t>Women's day Run</t>
  </si>
  <si>
    <t>KEM Marathon</t>
  </si>
  <si>
    <t>ICT Marathon</t>
  </si>
  <si>
    <t>Delhi Heroes Half Marathon</t>
  </si>
  <si>
    <t>Splash International Group</t>
  </si>
  <si>
    <t>Patna</t>
  </si>
  <si>
    <t>Patna Marathon</t>
  </si>
  <si>
    <t>Lucknow Heritage Half Marathon</t>
  </si>
  <si>
    <t>NCR Marathon</t>
  </si>
  <si>
    <t>Bidadi</t>
  </si>
  <si>
    <t>Bidadi Half Marathon</t>
  </si>
  <si>
    <t>Purvankara 10K Run</t>
  </si>
  <si>
    <t>Gurugram</t>
  </si>
  <si>
    <t>Ironwings Marathon Gurugram</t>
  </si>
  <si>
    <t>Kharghar</t>
  </si>
  <si>
    <t>Kharghar Half Marathon</t>
  </si>
  <si>
    <t>Bhujalvauy Half Marathon</t>
  </si>
  <si>
    <t>2.5</t>
  </si>
  <si>
    <t>Noida City Half Marathon</t>
  </si>
  <si>
    <t>Grow on Events</t>
  </si>
  <si>
    <t>Rewari</t>
  </si>
  <si>
    <t>Raja Rao Tularam Rewari Half Marathon</t>
  </si>
  <si>
    <t>Inventive Event Management</t>
  </si>
  <si>
    <t>Delhi Stride Half Marathon</t>
  </si>
  <si>
    <t>Lokraja Marathon</t>
  </si>
  <si>
    <t>Sports Rhinos</t>
  </si>
  <si>
    <t>Prayagraj</t>
  </si>
  <si>
    <t>Prayagraj Half Marathon</t>
  </si>
  <si>
    <t>Thrill Zone</t>
  </si>
  <si>
    <t>Mumbai Fast Marathon</t>
  </si>
  <si>
    <t>Farmley Snack Run</t>
  </si>
  <si>
    <t>Fit Mumbai Marathon</t>
  </si>
  <si>
    <t>Konqr Half Marathon</t>
  </si>
  <si>
    <t>Delhi Legends Half Marathon</t>
  </si>
  <si>
    <t>Bharat Ka Bhavishya Shahoton 2.0</t>
  </si>
  <si>
    <t>Freedom Bengaluru Half Marathon</t>
  </si>
  <si>
    <t>Kalki Sports India</t>
  </si>
  <si>
    <t>Aamchi Mumbai Half Marathon</t>
  </si>
  <si>
    <t>Omega Events</t>
  </si>
  <si>
    <t>Noida Warrior Run</t>
  </si>
  <si>
    <t>Mojo Marathon</t>
  </si>
  <si>
    <t>MS 10K</t>
  </si>
  <si>
    <t>Thane Monsoon 15K</t>
  </si>
  <si>
    <t>Livfit Sports and Wellness</t>
  </si>
  <si>
    <t>Mumbai Monsoon Marathon</t>
  </si>
  <si>
    <t>Festicorp Event Management</t>
  </si>
  <si>
    <t>Malsehj Ghat</t>
  </si>
  <si>
    <t>Malsehj Ghat Half</t>
  </si>
  <si>
    <t>RunNiti</t>
  </si>
  <si>
    <t>Kargil Vijay Diwas Half Marathon</t>
  </si>
  <si>
    <t>Matheran Hillf Half Marathon</t>
  </si>
  <si>
    <t>Sunrise Sports</t>
  </si>
  <si>
    <t>Pune Full Marathon</t>
  </si>
  <si>
    <t>Saviorthon 10K</t>
  </si>
  <si>
    <t>4Memories</t>
  </si>
  <si>
    <t>Abu Road</t>
  </si>
  <si>
    <t>Dadi Prakashmani Mount Abu International Half</t>
  </si>
  <si>
    <t>Mumbai Half Marathon</t>
  </si>
  <si>
    <t>Baja Indef Half Marathon</t>
  </si>
  <si>
    <t>Kolhapur</t>
  </si>
  <si>
    <t>Jotiba Dakkan Hill Half Marathon</t>
  </si>
  <si>
    <t>Accomplish 10K</t>
  </si>
  <si>
    <t>NMDC Hyderabad Marathon</t>
  </si>
  <si>
    <t>NMPA Golden Jubilee 10K</t>
  </si>
  <si>
    <t>Satara</t>
  </si>
  <si>
    <t>JBG Satara Hill Half Marathon</t>
  </si>
  <si>
    <t>Kodagu</t>
  </si>
  <si>
    <t>Kodagu Monsoon Half Marathon</t>
  </si>
  <si>
    <t>Hennur</t>
  </si>
  <si>
    <t>Hennur Bamboo Ultra</t>
  </si>
  <si>
    <t>Udaipur</t>
  </si>
  <si>
    <t>Vedanta Zinc City Half Marathon</t>
  </si>
  <si>
    <t>Vedanta / local partners</t>
  </si>
  <si>
    <t>Bengalore + multi-city series</t>
  </si>
  <si>
    <t>Run for Happiness</t>
  </si>
  <si>
    <t>Being Social</t>
  </si>
  <si>
    <t>Chandigarh Half Marathon</t>
  </si>
  <si>
    <t>Dyes Mysuru Dasara 10K</t>
  </si>
  <si>
    <t xml:space="preserve">Dehradun </t>
  </si>
  <si>
    <t>Sarmang Dehradun Marathon</t>
  </si>
  <si>
    <t>Sarmang Adventure Tours</t>
  </si>
  <si>
    <t>Punjab Half Marathon</t>
  </si>
  <si>
    <t>Saquib Rizvi Memorial Cancer Awareness Half</t>
  </si>
  <si>
    <t>Saquib Rizvi Foundation / organisers</t>
  </si>
  <si>
    <t>Dehradun</t>
  </si>
  <si>
    <t>Dehradun Half Marathon</t>
  </si>
  <si>
    <t>Winter Delhi Half Marathon</t>
  </si>
  <si>
    <t>Jammu</t>
  </si>
  <si>
    <t>Kashmir Marathon</t>
  </si>
  <si>
    <t>New Delhi (+ 60 locations)</t>
  </si>
  <si>
    <t>Sekhon Indian Air Force Marathon</t>
  </si>
  <si>
    <t>Dombivli</t>
  </si>
  <si>
    <t>Dombivlikar Friendship Run</t>
  </si>
  <si>
    <t>Kalyan Domivli Runners</t>
  </si>
  <si>
    <t>Mehsana</t>
  </si>
  <si>
    <t>Mehsana Marathon</t>
  </si>
  <si>
    <t>Vasai–Virar</t>
  </si>
  <si>
    <t>Vasai-Virar Marathon</t>
  </si>
  <si>
    <t>Vasai–Virar City Municipal Corporation (VVCMC)</t>
  </si>
  <si>
    <t>Swachh Navy Mumbai Half Marathon</t>
  </si>
  <si>
    <t>Ankleshwar</t>
  </si>
  <si>
    <t>Shah &amp; Sons REVA Marathon 3.0</t>
  </si>
  <si>
    <t>Darjeeling</t>
  </si>
  <si>
    <t>Darjeeling Hill Marathon</t>
  </si>
  <si>
    <t>Rotary Valsad City Marathon</t>
  </si>
  <si>
    <t xml:space="preserve">30 ; 19 </t>
  </si>
  <si>
    <t>Jaisalmer</t>
  </si>
  <si>
    <t>Desert Warriors BSF Marathon</t>
  </si>
  <si>
    <t>Peak Dynamic Sports</t>
  </si>
  <si>
    <t>6 cities (Mumbai, Bengaluru, Hyderabad, Delhi, Pune and Chennai)</t>
  </si>
  <si>
    <t>Zydus Pinkathon Mumbai</t>
  </si>
  <si>
    <t>Bengaluru Ultra</t>
  </si>
  <si>
    <t>50 ; 37 ; 25 ; 12.5</t>
  </si>
  <si>
    <t>Kisna Diamond Marathon</t>
  </si>
  <si>
    <t>Ooty</t>
  </si>
  <si>
    <t>Ooty Ultra</t>
  </si>
  <si>
    <t>KaysFIT Academy</t>
  </si>
  <si>
    <t>Kalimpong Ultra Marathon</t>
  </si>
  <si>
    <t>Run with Roshni Foundation</t>
  </si>
  <si>
    <t>Kodaikanal</t>
  </si>
  <si>
    <t>Kodaikanal Half Marathon</t>
  </si>
  <si>
    <t>Wild Warrior</t>
  </si>
  <si>
    <t>Chitri</t>
  </si>
  <si>
    <t>Chitri Ultra Marathon</t>
  </si>
  <si>
    <t>Solang Valley</t>
  </si>
  <si>
    <t>Solang SkyUltra</t>
  </si>
  <si>
    <t>SkyUltra India</t>
  </si>
  <si>
    <t>Tawang</t>
  </si>
  <si>
    <t>Tawang Marathon</t>
  </si>
  <si>
    <t>Tawang Marathon organisers</t>
  </si>
  <si>
    <t>Kaveri Trail Marathon</t>
  </si>
  <si>
    <t>Western Ghats</t>
  </si>
  <si>
    <t>Malnad Ultra</t>
  </si>
  <si>
    <t>Malnad Ultra organisers</t>
  </si>
  <si>
    <t>Harmonie Mutuelle 20 km de Paris</t>
  </si>
  <si>
    <t>20 km</t>
  </si>
  <si>
    <t xml:space="preserve">RunThrough Australia </t>
  </si>
  <si>
    <t>Thien Phong</t>
  </si>
  <si>
    <t>Thien Phong Marathon</t>
  </si>
  <si>
    <t>fin prestation 2026</t>
  </si>
  <si>
    <t>Run24 Suisse</t>
  </si>
  <si>
    <t>Propriété</t>
  </si>
  <si>
    <t>Portsmouth Coastal Marathon</t>
  </si>
  <si>
    <t>Challenge du Ruban rose</t>
  </si>
  <si>
    <t>Course 13km et marche</t>
  </si>
  <si>
    <t>Reims</t>
  </si>
  <si>
    <t>Reims Champagne Run</t>
  </si>
  <si>
    <t xml:space="preserve">Ultra-trail, courses enfants </t>
  </si>
  <si>
    <t xml:space="preserve">Rennes </t>
  </si>
  <si>
    <t xml:space="preserve">Tout Rennes Court </t>
  </si>
  <si>
    <t xml:space="preserve">Association </t>
  </si>
  <si>
    <t>Salomon Ecotrail Paris</t>
  </si>
  <si>
    <t>OSE</t>
  </si>
  <si>
    <t>8 distances - 120km à 10km</t>
  </si>
  <si>
    <t>Asics SaintéLyon</t>
  </si>
  <si>
    <t>Extra Sports</t>
  </si>
  <si>
    <t>6 distances - 160, 80, 45, 24, 13km, 4km</t>
  </si>
  <si>
    <t>La Rochelle</t>
  </si>
  <si>
    <t>Marathon de La Rochelle Serge Vigot</t>
  </si>
  <si>
    <t>M duo</t>
  </si>
  <si>
    <t>Biarritz</t>
  </si>
  <si>
    <t xml:space="preserve">Marathon de Biarritz </t>
  </si>
  <si>
    <t>Relais, courses enfants, 14km, 9km</t>
  </si>
  <si>
    <t xml:space="preserve">10km Hoka Paris centre </t>
  </si>
  <si>
    <t>Golazo Sports</t>
  </si>
  <si>
    <t>Deauville</t>
  </si>
  <si>
    <t>Marathon International inDeauville</t>
  </si>
  <si>
    <t>Lens</t>
  </si>
  <si>
    <t>Route du Louvre</t>
  </si>
  <si>
    <t xml:space="preserve">Randos 5km, 10, 14, 23km </t>
  </si>
  <si>
    <t xml:space="preserve">Courir pour elles </t>
  </si>
  <si>
    <t xml:space="preserve">courses solidaires </t>
  </si>
  <si>
    <t>Prom'Classique</t>
  </si>
  <si>
    <t>Urban Trail de Lille</t>
  </si>
  <si>
    <t>La Baule</t>
  </si>
  <si>
    <t>Marathon International de la Côte d’Amour Amarris</t>
  </si>
  <si>
    <t>Rouen</t>
  </si>
  <si>
    <t>Seine-Marathon 76</t>
  </si>
  <si>
    <t>Sport Plus Conseil</t>
  </si>
  <si>
    <t>Relais</t>
  </si>
  <si>
    <t>Montpellier</t>
  </si>
  <si>
    <t>Montpellier Run Festival</t>
  </si>
  <si>
    <t>Ediken, enfants - relancé 2024</t>
  </si>
  <si>
    <t>16k - 20k</t>
  </si>
  <si>
    <t>Annecy</t>
  </si>
  <si>
    <t>Brooks Marathon du Lac d’Annecy</t>
  </si>
  <si>
    <t xml:space="preserve">Marches </t>
  </si>
  <si>
    <t xml:space="preserve">Radiance Mutuelle Lyon Urban Trail </t>
  </si>
  <si>
    <t>6 distances - 38, 28, 18, 12km + 12km marche</t>
  </si>
  <si>
    <t>Millau</t>
  </si>
  <si>
    <t xml:space="preserve">Course Eiffage du Viaduc de Millau </t>
  </si>
  <si>
    <t>23,7km / 390 D+</t>
  </si>
  <si>
    <t>Nimes</t>
  </si>
  <si>
    <t xml:space="preserve">Nimes Urban Trail </t>
  </si>
  <si>
    <t>Yeswerun</t>
  </si>
  <si>
    <t>Brest</t>
  </si>
  <si>
    <t>Odyssea Brest</t>
  </si>
  <si>
    <t>caritatif</t>
  </si>
  <si>
    <t>Gwenael Vigot</t>
  </si>
  <si>
    <t xml:space="preserve">Rennes Urban Trail </t>
  </si>
  <si>
    <t xml:space="preserve">4 distances - 7km, 14km, 24km </t>
  </si>
  <si>
    <t>Strasbourg</t>
  </si>
  <si>
    <t>ACSE - Les courses de Strasbourg Eurométropole</t>
  </si>
  <si>
    <t xml:space="preserve">Challenge Entreprise / Asso </t>
  </si>
  <si>
    <t>Saint Cloud</t>
  </si>
  <si>
    <t xml:space="preserve">Cross du Figaro </t>
  </si>
  <si>
    <t>Boulogne-Billancourt</t>
  </si>
  <si>
    <t>Semi-marathon de Boulogne-Billancourt</t>
  </si>
  <si>
    <t xml:space="preserve">Issy les moulineaux </t>
  </si>
  <si>
    <t>Corrida de Noël</t>
  </si>
  <si>
    <t>ACSE - La Strasbourgeoise</t>
  </si>
  <si>
    <t>Chambéry</t>
  </si>
  <si>
    <t>Odysséa Chambéry</t>
  </si>
  <si>
    <t>La roche sur Yon</t>
  </si>
  <si>
    <t xml:space="preserve">La Foulée des géants </t>
  </si>
  <si>
    <t xml:space="preserve">20km trail </t>
  </si>
  <si>
    <t>Run set &amp; Match</t>
  </si>
  <si>
    <t>Rnksport (Groupe SSM)</t>
  </si>
  <si>
    <t>Brest Urban Trail</t>
  </si>
  <si>
    <t>50km à 8km</t>
  </si>
  <si>
    <t>Valenciennes</t>
  </si>
  <si>
    <t>Les foulées Valenciennoises</t>
  </si>
  <si>
    <t>Randos : 8km, poussette</t>
  </si>
  <si>
    <t>Vincennes</t>
  </si>
  <si>
    <t xml:space="preserve">Les foulées de Vincennes </t>
  </si>
  <si>
    <t>Sport Passion Organisation</t>
  </si>
  <si>
    <t>800m, 2km, Courses enfants</t>
  </si>
  <si>
    <t xml:space="preserve">Mulhouse </t>
  </si>
  <si>
    <t xml:space="preserve">Les mulhousiennes </t>
  </si>
  <si>
    <t>Clermont-Ferrand</t>
  </si>
  <si>
    <t>Clermont en rose</t>
  </si>
  <si>
    <t xml:space="preserve">Course ou marche </t>
  </si>
  <si>
    <t>Les voies royales de Saint Denis</t>
  </si>
  <si>
    <t>Randos + Ekiden</t>
  </si>
  <si>
    <t>Ekiden de Nantes by Decathlon</t>
  </si>
  <si>
    <t>Limoges</t>
  </si>
  <si>
    <t>Foulées du Populaire</t>
  </si>
  <si>
    <t>Centre France</t>
  </si>
  <si>
    <t>Saumur</t>
  </si>
  <si>
    <t>Marathon de la Loire</t>
  </si>
  <si>
    <t>Ebra Events</t>
  </si>
  <si>
    <t>Combiné course - canoë</t>
  </si>
  <si>
    <t>Metz</t>
  </si>
  <si>
    <t>Euro Marathon Metz</t>
  </si>
  <si>
    <t>10km du Panthéon</t>
  </si>
  <si>
    <t>Pauillac</t>
  </si>
  <si>
    <t>Marathon des Chateaux du Médoc</t>
  </si>
  <si>
    <t>MAIF Ekiden de Paris</t>
  </si>
  <si>
    <t>FFA</t>
  </si>
  <si>
    <t>Ekiden</t>
  </si>
  <si>
    <t>Bergues</t>
  </si>
  <si>
    <t xml:space="preserve">Marathon Bière Flandre Festival </t>
  </si>
  <si>
    <t>13km / festif</t>
  </si>
  <si>
    <t>Montpellier Reine</t>
  </si>
  <si>
    <t>Dijon</t>
  </si>
  <si>
    <t>Marathon des Grands Crus</t>
  </si>
  <si>
    <t xml:space="preserve">23km Roller </t>
  </si>
  <si>
    <t>Boulogne-sur-Mer</t>
  </si>
  <si>
    <t>Marathon de la mer</t>
  </si>
  <si>
    <t>festif</t>
  </si>
  <si>
    <t>Poitiers</t>
  </si>
  <si>
    <t>Marathon Poitiers-Futuroscope</t>
  </si>
  <si>
    <t>Dunkerque</t>
  </si>
  <si>
    <t>les Boucles dunkerquoises</t>
  </si>
  <si>
    <t>20km + Rando : 5km / gratuit</t>
  </si>
  <si>
    <t>Wimereux</t>
  </si>
  <si>
    <t xml:space="preserve">Trail de la côte d’Opale </t>
  </si>
  <si>
    <t xml:space="preserve">Lyon Urban Trail by Night </t>
  </si>
  <si>
    <t>4 distances : 30, 20, 10km, 10km marche</t>
  </si>
  <si>
    <t>Givry</t>
  </si>
  <si>
    <t>Marathon des vins de la côte chalonnaise</t>
  </si>
  <si>
    <t>12km &amp; 8km</t>
  </si>
  <si>
    <t>La scintillante</t>
  </si>
  <si>
    <t>10km Onatéra Paris 17</t>
  </si>
  <si>
    <t xml:space="preserve">x </t>
  </si>
  <si>
    <t>10km des Etoiles</t>
  </si>
  <si>
    <t>Paris Lemon Grass Events</t>
  </si>
  <si>
    <t>La courstache</t>
  </si>
  <si>
    <t xml:space="preserve">marche / solidaire </t>
  </si>
  <si>
    <t xml:space="preserve">Besançon </t>
  </si>
  <si>
    <t>Trail des forts de Besançon</t>
  </si>
  <si>
    <t>6 distances</t>
  </si>
  <si>
    <t>Semi marathon du Bois de Vincennes</t>
  </si>
  <si>
    <t>Urban Trail Montpellier</t>
  </si>
  <si>
    <t>10km du Trocadéro</t>
  </si>
  <si>
    <t>Nancy</t>
  </si>
  <si>
    <t>Semi du Grand Nancy</t>
  </si>
  <si>
    <t>Ekiden du Stade Français</t>
  </si>
  <si>
    <t>Stade Français</t>
  </si>
  <si>
    <t xml:space="preserve">Calais </t>
  </si>
  <si>
    <t xml:space="preserve">Marathon Calais XXL </t>
  </si>
  <si>
    <t xml:space="preserve">Nord Littoral </t>
  </si>
  <si>
    <t>Saint-Tropez</t>
  </si>
  <si>
    <t>Marathon Golfe de Saint-Tropez</t>
  </si>
  <si>
    <t>M duo, M relais, 19km</t>
  </si>
  <si>
    <t>La Corrida Crédit Agricole Toulouse</t>
  </si>
  <si>
    <t>3km / 100% caritatif</t>
  </si>
  <si>
    <t xml:space="preserve">10 km Unicef </t>
  </si>
  <si>
    <t>Odyssea Dijon</t>
  </si>
  <si>
    <t>Maroilles</t>
  </si>
  <si>
    <t>20km de maroilles</t>
  </si>
  <si>
    <t>10km du bois de Boulogne</t>
  </si>
  <si>
    <t>Le Puy en Velay</t>
  </si>
  <si>
    <t>Trail du Saint-Jacques by UTMB</t>
  </si>
  <si>
    <t>La course du château de Vincennes</t>
  </si>
  <si>
    <t xml:space="preserve">Marseille </t>
  </si>
  <si>
    <t xml:space="preserve">Marseille Outdoor Experiences by On </t>
  </si>
  <si>
    <t>Marseille Outdoor Experiences</t>
  </si>
  <si>
    <t>3 courses : 5, 12, 21km</t>
  </si>
  <si>
    <t>Orléans</t>
  </si>
  <si>
    <t>Foulées d’Orléans</t>
  </si>
  <si>
    <t>Molsheim</t>
  </si>
  <si>
    <t>Marathon du vignoble d’Alsace</t>
  </si>
  <si>
    <t>La course des Lumières</t>
  </si>
  <si>
    <t>Resonance</t>
  </si>
  <si>
    <t>Les Foulées Nantaises</t>
  </si>
  <si>
    <t>8km</t>
  </si>
  <si>
    <t>Beaune</t>
  </si>
  <si>
    <t>Semi-Marathon de la Vente des Vins</t>
  </si>
  <si>
    <t>4km</t>
  </si>
  <si>
    <t xml:space="preserve">24 ore di Torino </t>
  </si>
  <si>
    <t xml:space="preserve">Portimao </t>
  </si>
  <si>
    <t>Corrida da Liberdade</t>
  </si>
  <si>
    <t xml:space="preserve">Setubal </t>
  </si>
  <si>
    <t xml:space="preserve">Meia Maratona Setubal </t>
  </si>
  <si>
    <t>Corrida FPF</t>
  </si>
  <si>
    <t>Meia Maratona do Porto</t>
  </si>
  <si>
    <t>Semi marathon de Lisbonne</t>
  </si>
  <si>
    <t>Madère</t>
  </si>
  <si>
    <t xml:space="preserve">Marathon de Funchal </t>
  </si>
  <si>
    <t>Aveira</t>
  </si>
  <si>
    <t>Maratona Da Europa</t>
  </si>
  <si>
    <t>Lauf Für Mehir Zeit</t>
  </si>
  <si>
    <t>1km</t>
  </si>
  <si>
    <t>Run in Dubai</t>
  </si>
  <si>
    <t xml:space="preserve">Gratuit </t>
  </si>
  <si>
    <t>Burg</t>
  </si>
  <si>
    <t>Spreewald Marathon</t>
  </si>
  <si>
    <t xml:space="preserve">Göltzschtal </t>
  </si>
  <si>
    <t xml:space="preserve">Marathon de Göltzschal </t>
  </si>
  <si>
    <t>Sportlerheim Lengenfeld</t>
  </si>
  <si>
    <t>Ramsthal</t>
  </si>
  <si>
    <t>Saaletal Marathon</t>
  </si>
  <si>
    <t>Kassel</t>
  </si>
  <si>
    <t>Kassel Marathon</t>
  </si>
  <si>
    <t>Fulda</t>
  </si>
  <si>
    <t>Fulda Marathon</t>
  </si>
  <si>
    <t>Simmern</t>
  </si>
  <si>
    <t>Hunsrück Marathon</t>
  </si>
  <si>
    <t>fun race</t>
  </si>
  <si>
    <t>Ingelheim</t>
  </si>
  <si>
    <t>Ingelheimer Halbe</t>
  </si>
  <si>
    <t>Salkotten</t>
  </si>
  <si>
    <t>Salzkotten Marathon</t>
  </si>
  <si>
    <t>Löningen</t>
  </si>
  <si>
    <t>Remmers Hasetal Marathon</t>
  </si>
  <si>
    <t>Drübber</t>
  </si>
  <si>
    <t>Drübber Lauf</t>
  </si>
  <si>
    <t>Darb</t>
  </si>
  <si>
    <t>Darb Marathon</t>
  </si>
  <si>
    <t>Neubrandenburg</t>
  </si>
  <si>
    <t>Neubrandenburger Halbmarathon</t>
  </si>
  <si>
    <t>Lubin</t>
  </si>
  <si>
    <t>Schlossinsenlauf</t>
  </si>
  <si>
    <t>Bodensee</t>
  </si>
  <si>
    <t>Bodensee Marathon</t>
  </si>
  <si>
    <t>Eischatt</t>
  </si>
  <si>
    <t>Hofmul-Volksfest Halbmarathon</t>
  </si>
  <si>
    <t>Regensburg</t>
  </si>
  <si>
    <t>Regensburg Marathon</t>
  </si>
  <si>
    <t>Wiesbaden</t>
  </si>
  <si>
    <t>Wiesbaden Marathon</t>
  </si>
  <si>
    <t>Wec GMBH</t>
  </si>
  <si>
    <t xml:space="preserve"> Tübigen</t>
  </si>
  <si>
    <t>Nikolaslauf Tübigen</t>
  </si>
  <si>
    <t xml:space="preserve">University of Charleston Marathon by United Bank </t>
  </si>
  <si>
    <t xml:space="preserve">University of Charleston </t>
  </si>
  <si>
    <t>Nouveauté 2026</t>
  </si>
  <si>
    <t>Curacao</t>
  </si>
  <si>
    <t>KLM Curacao Marathon</t>
  </si>
  <si>
    <t>Loch</t>
  </si>
  <si>
    <t>Baxters Marathon du Loch Ness</t>
  </si>
  <si>
    <t>Inverness</t>
  </si>
  <si>
    <t>Inverness Half Marathon</t>
  </si>
  <si>
    <t>RomaECOMaratona</t>
  </si>
  <si>
    <t>Grada</t>
  </si>
  <si>
    <t>Peak Lake Garda 42</t>
  </si>
  <si>
    <t>Communico Italia SSD</t>
  </si>
  <si>
    <t>Huangyaguan</t>
  </si>
  <si>
    <t>The Great Wall Marathon</t>
  </si>
  <si>
    <t>Pekin</t>
  </si>
  <si>
    <t>Bank of China Beijing Half Marathon</t>
  </si>
  <si>
    <t>Beijing Miyun Eco Marathon</t>
  </si>
  <si>
    <t>Bank of China Beijing Marathon</t>
  </si>
  <si>
    <t>Chengdu</t>
  </si>
  <si>
    <t>Chengdu Marathon</t>
  </si>
  <si>
    <t xml:space="preserve">Guangzhou Wanda Sport Debelopment Co </t>
  </si>
  <si>
    <t>Chengdu World heritage Marathon</t>
  </si>
  <si>
    <t>Guangzhou</t>
  </si>
  <si>
    <t>Guangzhou Marathon</t>
  </si>
  <si>
    <t>Wuxi</t>
  </si>
  <si>
    <t>Wuxi Marathon</t>
  </si>
  <si>
    <t>Bhouthan</t>
  </si>
  <si>
    <t>Thimphu</t>
  </si>
  <si>
    <t>Thimphu Marathon</t>
  </si>
  <si>
    <t>Dalian</t>
  </si>
  <si>
    <t>Dalian Marathon</t>
  </si>
  <si>
    <t>Jilin</t>
  </si>
  <si>
    <t>Jilin City Marathon</t>
  </si>
  <si>
    <t xml:space="preserve">Lanzhou </t>
  </si>
  <si>
    <t>Lanzhou Marathon</t>
  </si>
  <si>
    <t xml:space="preserve">Yuelu </t>
  </si>
  <si>
    <t>Bank of Chanhsha Changsha Marathon</t>
  </si>
  <si>
    <t>Wuya</t>
  </si>
  <si>
    <t>Hangzhou Marathon</t>
  </si>
  <si>
    <t>Yushui</t>
  </si>
  <si>
    <t>Xinyu Fairy Lake Marathon</t>
  </si>
  <si>
    <t>Tengchong</t>
  </si>
  <si>
    <t>Tengchong Marathon</t>
  </si>
  <si>
    <t xml:space="preserve">Danang </t>
  </si>
  <si>
    <t xml:space="preserve">AirAsia RedRun Danang </t>
  </si>
  <si>
    <t>Halong</t>
  </si>
  <si>
    <t>Halong Bay Heritage Marathon</t>
  </si>
  <si>
    <t>Hanoi</t>
  </si>
  <si>
    <t>Standard Chartered Hanoi Marathon - Heritage Race</t>
  </si>
  <si>
    <t>Tay Ho Half Marathon</t>
  </si>
  <si>
    <t>Vrace by Vu Media</t>
  </si>
  <si>
    <t>Quang Tri</t>
  </si>
  <si>
    <t>QuangTri Amazing Marathon</t>
  </si>
  <si>
    <t>Xiuying</t>
  </si>
  <si>
    <t>Haikou Marathon</t>
  </si>
  <si>
    <t>Guiyang</t>
  </si>
  <si>
    <t>Guiyang Marathon</t>
  </si>
  <si>
    <t xml:space="preserve">Shenyang </t>
  </si>
  <si>
    <t>Shenyang Marathon</t>
  </si>
  <si>
    <t>Marbella</t>
  </si>
  <si>
    <t>Sierra Blanca Estates Marbella Media maraton</t>
  </si>
  <si>
    <t xml:space="preserve">Alpa Sport y eventos </t>
  </si>
  <si>
    <t>Gifu</t>
  </si>
  <si>
    <t>Gifu Half Marathon</t>
  </si>
  <si>
    <t>Fukushima</t>
  </si>
  <si>
    <t>Fukushima City Half Marathon</t>
  </si>
  <si>
    <t>Tokyo East Run 30K</t>
  </si>
  <si>
    <t>30 ; 20</t>
  </si>
  <si>
    <t>Fondation du sourire des athlètes</t>
  </si>
  <si>
    <t>JTBC Seoul Marathon</t>
  </si>
  <si>
    <t>Runnable Co</t>
  </si>
  <si>
    <t>Peso da Regua</t>
  </si>
  <si>
    <t xml:space="preserve">Half Marathon Do Douro Vinhateiro </t>
  </si>
  <si>
    <t>GlobalSport</t>
  </si>
  <si>
    <t xml:space="preserve">Bosnie-Herzégovine </t>
  </si>
  <si>
    <t xml:space="preserve">Sarajevo </t>
  </si>
  <si>
    <t>Sarajevo Half Marathon</t>
  </si>
  <si>
    <t xml:space="preserve">Marathon Sarajevo </t>
  </si>
  <si>
    <t xml:space="preserve">Fatima </t>
  </si>
  <si>
    <t>Renascenca Fatima Half Marathon</t>
  </si>
  <si>
    <t>Ganhar Destak Events</t>
  </si>
  <si>
    <t>Almada</t>
  </si>
  <si>
    <t>Meia Maratona De Almada</t>
  </si>
  <si>
    <t>Lisbon Eco Marathon</t>
  </si>
  <si>
    <t xml:space="preserve">Clube Deportivo e Recreativo Chronos </t>
  </si>
  <si>
    <t xml:space="preserve">Generali Tranquilidade Meia Maratona Descobrimentos </t>
  </si>
  <si>
    <t>Xistarca</t>
  </si>
  <si>
    <t>Alkmar</t>
  </si>
  <si>
    <t xml:space="preserve">Almaar City Run bu night </t>
  </si>
  <si>
    <t>Breda</t>
  </si>
  <si>
    <t>Bredase Singelloop</t>
  </si>
  <si>
    <t>Racheté en 2026 par Le Champion</t>
  </si>
  <si>
    <t xml:space="preserve">Konya </t>
  </si>
  <si>
    <t>Konya Half Marathon</t>
  </si>
  <si>
    <t>Thesmé</t>
  </si>
  <si>
    <t xml:space="preserve">Salomon Cesme Yari Maratonu </t>
  </si>
  <si>
    <t xml:space="preserve">Argeus Travel &amp;Events </t>
  </si>
  <si>
    <t xml:space="preserve">Istanbul </t>
  </si>
  <si>
    <t>Istanbul Night Marathon</t>
  </si>
  <si>
    <t xml:space="preserve">OA grup </t>
  </si>
  <si>
    <t>Prince's Island</t>
  </si>
  <si>
    <t>Decathlon International Prince's Half Marathon</t>
  </si>
  <si>
    <t>Winter Run Istanbul</t>
  </si>
  <si>
    <t>Söder Runt 10K</t>
  </si>
  <si>
    <t xml:space="preserve">Around the south </t>
  </si>
  <si>
    <t>Midnattsloppet Stockholm</t>
  </si>
  <si>
    <t>Série en Suède</t>
  </si>
  <si>
    <t>Jonkoping</t>
  </si>
  <si>
    <t>Jonkoping Marathon</t>
  </si>
  <si>
    <t>Cardiff Bay 10K</t>
  </si>
  <si>
    <t>Newport</t>
  </si>
  <si>
    <t>Newport Marathon</t>
  </si>
  <si>
    <t>Barry Island</t>
  </si>
  <si>
    <t>Barry Island 10K</t>
  </si>
  <si>
    <t xml:space="preserve">CDF 10k </t>
  </si>
  <si>
    <t>Porthcawl</t>
  </si>
  <si>
    <t>The Brecon Carreg Porthcawl 10K</t>
  </si>
  <si>
    <t>Espagne</t>
  </si>
  <si>
    <t>Ciudad Real</t>
  </si>
  <si>
    <t>Quijote Maraton</t>
  </si>
  <si>
    <t xml:space="preserve">Toronto </t>
  </si>
  <si>
    <t>Under Armour Toronto 10K</t>
  </si>
  <si>
    <t xml:space="preserve">Canada Running series </t>
  </si>
  <si>
    <t>Toronto Marathon</t>
  </si>
  <si>
    <t>Running First Ltd</t>
  </si>
  <si>
    <t>TCS Toronto Waterfront Mrathon</t>
  </si>
  <si>
    <t>Puma Toronto Spring 10K</t>
  </si>
  <si>
    <t xml:space="preserve">Vancouver </t>
  </si>
  <si>
    <t>Beneva Vancouver Half Marathon</t>
  </si>
  <si>
    <t>East Side 10K</t>
  </si>
  <si>
    <t>Servus Calgary Marathon</t>
  </si>
  <si>
    <t>Calgary Marathon Society</t>
  </si>
  <si>
    <t>Hamilton</t>
  </si>
  <si>
    <t>Around the Bay Road Race</t>
  </si>
  <si>
    <t>1894 : + vieille course d'Amérique du Nord</t>
  </si>
  <si>
    <t>Monterrey</t>
  </si>
  <si>
    <t xml:space="preserve">Maraton Powerade Monterrey </t>
  </si>
  <si>
    <t>SOCIACIÓN DE CLUBES DE CORREDORES DEL ESTADO DE NUEVO LEÓN A.C</t>
  </si>
  <si>
    <t xml:space="preserve">Medio Maration Ciudad de Mexico </t>
  </si>
  <si>
    <t>Teguise</t>
  </si>
  <si>
    <t>Font Vella Lanzarote International Marathon</t>
  </si>
  <si>
    <t>Sands Beach Active</t>
  </si>
  <si>
    <t>Zagreb21 Spring Half Marathon</t>
  </si>
  <si>
    <t>Athletic Club Marathon 2000</t>
  </si>
  <si>
    <t>Bangkok Double bridge Half Marathon for Red Cross</t>
  </si>
  <si>
    <t xml:space="preserve">Indonésie </t>
  </si>
  <si>
    <t>Bandung</t>
  </si>
  <si>
    <t>Bank Bjb Bandoeng 10K</t>
  </si>
  <si>
    <t>Bang Saen</t>
  </si>
  <si>
    <t>Bangsaen 10</t>
  </si>
  <si>
    <t>Mice &amp; Communication Co</t>
  </si>
  <si>
    <t>Winchester</t>
  </si>
  <si>
    <t>Big Night Out</t>
  </si>
  <si>
    <t xml:space="preserve">Big Feat Events </t>
  </si>
  <si>
    <t>Toyota Amazing Thailand Bangkok Marathon</t>
  </si>
  <si>
    <t xml:space="preserve">Thailand Tri-League </t>
  </si>
  <si>
    <t>4,5km</t>
  </si>
  <si>
    <t>Lazada Run</t>
  </si>
  <si>
    <t xml:space="preserve">arrêté </t>
  </si>
  <si>
    <t>Saitama</t>
  </si>
  <si>
    <t>Saitama Marathon</t>
  </si>
  <si>
    <t>8 ; 3</t>
  </si>
  <si>
    <t>Chiffres 2024</t>
  </si>
  <si>
    <t>Drammen 10K</t>
  </si>
  <si>
    <t>Stavanger Marathon</t>
  </si>
  <si>
    <t>Shanghai Yangtze River Half Marathon</t>
  </si>
  <si>
    <t>Nike After Dark Tour</t>
  </si>
  <si>
    <t>Wuhan</t>
  </si>
  <si>
    <t>Wuhan Marathon</t>
  </si>
  <si>
    <t>Mekong Delta Marathon Hau Giang</t>
  </si>
  <si>
    <t>Tokyo Legacy Half Marathon</t>
  </si>
  <si>
    <t>Tokyo Athletic Association</t>
  </si>
  <si>
    <t>Kazakhstan</t>
  </si>
  <si>
    <t>Almaty</t>
  </si>
  <si>
    <t>Almaty Half Marathon</t>
  </si>
  <si>
    <t>Astana</t>
  </si>
  <si>
    <t>Astana Half Marathon</t>
  </si>
  <si>
    <t>Almaty Marathon</t>
  </si>
  <si>
    <t>Burj2Burj Half Marathon</t>
  </si>
  <si>
    <t>Worlds Iconic LLC</t>
  </si>
  <si>
    <t>Dubai Creek Striders Half Marathon</t>
  </si>
  <si>
    <t>ICA International Half-Marathon</t>
  </si>
  <si>
    <t>Malaisie</t>
  </si>
  <si>
    <t>Sabah</t>
  </si>
  <si>
    <t>Alliance Bank Borneo International Marathon</t>
  </si>
  <si>
    <t>Kinabalu Running Club</t>
  </si>
  <si>
    <t>Kuala Lampur</t>
  </si>
  <si>
    <t>Kuala Lampur Standard Chartered Marathon</t>
  </si>
  <si>
    <t xml:space="preserve">Dirigo </t>
  </si>
  <si>
    <t>VPBank Hanoi International Marathon</t>
  </si>
  <si>
    <t>Pretoria</t>
  </si>
  <si>
    <t>Skosana Legend Race</t>
  </si>
  <si>
    <t>BrighTEN Marina Run</t>
  </si>
  <si>
    <t>UK Running Events</t>
  </si>
  <si>
    <t xml:space="preserve">Brunei </t>
  </si>
  <si>
    <t>BWM Brunei International Half Marathon</t>
  </si>
  <si>
    <t>akif Event</t>
  </si>
  <si>
    <t>Alexandrie</t>
  </si>
  <si>
    <t>Alexandria Marathon</t>
  </si>
  <si>
    <t>Alex Runners</t>
  </si>
  <si>
    <t>Oiso</t>
  </si>
  <si>
    <t>Sonan International Marathon</t>
  </si>
  <si>
    <t>Comité d'organisation du marathon international de Shonan</t>
  </si>
  <si>
    <t>Sénégal</t>
  </si>
  <si>
    <t>Dakar</t>
  </si>
  <si>
    <t>10Km de Dakar</t>
  </si>
  <si>
    <t xml:space="preserve">4S Run &amp; Events </t>
  </si>
  <si>
    <t>Ajman</t>
  </si>
  <si>
    <t>Ajman Half Marathon</t>
  </si>
  <si>
    <t>Philippines Airlines International marathon</t>
  </si>
  <si>
    <t>Canberra</t>
  </si>
  <si>
    <t xml:space="preserve">Canberra Times Marathon Festival </t>
  </si>
  <si>
    <t>Brooks Adelaide Marathon festival</t>
  </si>
  <si>
    <t>Australian Road Runners club</t>
  </si>
  <si>
    <t>Runaway Sydney Half Marathon</t>
  </si>
  <si>
    <t>Runaway marathon series</t>
  </si>
  <si>
    <t>Melbourne</t>
  </si>
  <si>
    <t>Mornington Running Festival</t>
  </si>
  <si>
    <t xml:space="preserve">Transurban Bridge to Brisbane </t>
  </si>
  <si>
    <t>Army Ten Miler</t>
  </si>
  <si>
    <t>Grandma's Marathon</t>
  </si>
  <si>
    <t>Duluth</t>
  </si>
  <si>
    <t>Gasparillad distance classic association</t>
  </si>
  <si>
    <t>Tampa</t>
  </si>
  <si>
    <t xml:space="preserve">Gasparilla Distance Classic </t>
  </si>
  <si>
    <t>15k</t>
  </si>
  <si>
    <t>Memphis</t>
  </si>
  <si>
    <t>St Jude Memphis Marathon</t>
  </si>
  <si>
    <t>Nouvelle-Orléans</t>
  </si>
  <si>
    <t xml:space="preserve">Crescent City Classic </t>
  </si>
  <si>
    <t>Marugame</t>
  </si>
  <si>
    <t>Kagawa Marugama Half Marathon</t>
  </si>
  <si>
    <t>GetPro Bath Half</t>
  </si>
  <si>
    <t>Silicon Valley Turkey Trot</t>
  </si>
  <si>
    <t>Pittsburg</t>
  </si>
  <si>
    <t>Dick's Pittsburgh Marathon</t>
  </si>
  <si>
    <t>P3R</t>
  </si>
  <si>
    <t>Baltimore</t>
  </si>
  <si>
    <t>Baltimore Running Festival</t>
  </si>
  <si>
    <t>Corrigan Sports</t>
  </si>
  <si>
    <t>Flamouth</t>
  </si>
  <si>
    <t>Falmouth Road Race</t>
  </si>
  <si>
    <t xml:space="preserve">DMSE Sports </t>
  </si>
  <si>
    <t>7 miles</t>
  </si>
  <si>
    <t>Eugene</t>
  </si>
  <si>
    <t>Eugene Marathon</t>
  </si>
  <si>
    <t>Bangsaen 21</t>
  </si>
  <si>
    <t>Bangsaen 42 Marathon</t>
  </si>
  <si>
    <t>Sacramento</t>
  </si>
  <si>
    <t>California International Marathon</t>
  </si>
  <si>
    <t>Sacramento Running Association</t>
  </si>
  <si>
    <t>Jacksonville</t>
  </si>
  <si>
    <t>Gate River Run</t>
  </si>
  <si>
    <t>1st place sports</t>
  </si>
  <si>
    <t>Manama</t>
  </si>
  <si>
    <t>Ironman 70.2 Manama</t>
  </si>
  <si>
    <t>Bahrain Road Runners</t>
  </si>
  <si>
    <t>Seef</t>
  </si>
  <si>
    <t>Amex Half Marathon</t>
  </si>
  <si>
    <t xml:space="preserve">duo </t>
  </si>
  <si>
    <t>Zallaq</t>
  </si>
  <si>
    <t>Beyon Full Marathon</t>
  </si>
  <si>
    <t>Al Areen</t>
  </si>
  <si>
    <t>Jahez Alareen Run</t>
  </si>
  <si>
    <t>Pre-season Run</t>
  </si>
  <si>
    <t>CrediMax Grand Prix</t>
  </si>
  <si>
    <t xml:space="preserve">NBK Bahrain Marathon Relays </t>
  </si>
  <si>
    <t>AL Areen</t>
  </si>
  <si>
    <t>Charity Run Alareen</t>
  </si>
  <si>
    <t>Sakheer</t>
  </si>
  <si>
    <t>DHL Cross Island</t>
  </si>
  <si>
    <t>Binter Night Run Zaragoza</t>
  </si>
  <si>
    <t xml:space="preserve">DG Eventos </t>
  </si>
  <si>
    <t>Rodi Media Maraton Zaragoza</t>
  </si>
  <si>
    <t xml:space="preserve">Arabie Saoudite </t>
  </si>
  <si>
    <t>Alula</t>
  </si>
  <si>
    <t>Alula Trail Race 2026</t>
  </si>
  <si>
    <t>Race Arabia</t>
  </si>
  <si>
    <t>100 km, 50 km, 23 km + Kids Run (1,6 km) + Sunset Run (3 km)</t>
  </si>
  <si>
    <t>Emirats Arabes Unis</t>
  </si>
  <si>
    <t>Abu Dhabi</t>
  </si>
  <si>
    <t>ADNOC Abu Dhabi Marathon</t>
  </si>
  <si>
    <t>Marathon Relay, 2,5km</t>
  </si>
  <si>
    <t>Lusail</t>
  </si>
  <si>
    <t>Run GP 2025</t>
  </si>
  <si>
    <t>Global Running League (GRL) - Run GP</t>
  </si>
  <si>
    <t>14km, 7km, 5,4km, 1.6 mile, 800m, 400m</t>
  </si>
  <si>
    <t>East to West Ultra Run</t>
  </si>
  <si>
    <t>QUR</t>
  </si>
  <si>
    <t>90km</t>
  </si>
  <si>
    <t>Heenat Salma</t>
  </si>
  <si>
    <t xml:space="preserve">The North Challenge </t>
  </si>
  <si>
    <t>2 heures sur une boucle de 2km</t>
  </si>
  <si>
    <t>HSBC Charity Run</t>
  </si>
  <si>
    <t>Plus500 City Half Marathon Dubai 2026</t>
  </si>
  <si>
    <t>Expo City Dubai Half Marathon 2026</t>
  </si>
  <si>
    <t>16km</t>
  </si>
  <si>
    <t>2800m</t>
  </si>
  <si>
    <t>7.5km : 7909</t>
  </si>
  <si>
    <t>10.55</t>
  </si>
  <si>
    <t>10.7</t>
  </si>
  <si>
    <t>7.6</t>
  </si>
  <si>
    <t>Allwyn Athens Marathon</t>
  </si>
  <si>
    <t>Carrera de la Mujer Madrid</t>
  </si>
  <si>
    <t>Carrera de la Mujer Barcelona</t>
  </si>
  <si>
    <t>Part.</t>
  </si>
  <si>
    <t>Finisher</t>
  </si>
  <si>
    <t>Zone urbaine</t>
  </si>
  <si>
    <t>Paris - IDF</t>
  </si>
  <si>
    <t>Marseille - Aix</t>
  </si>
  <si>
    <t>Classique 20km</t>
  </si>
  <si>
    <t>Saucony 10km de le Tour Eiffel</t>
  </si>
  <si>
    <t>Champagne</t>
  </si>
  <si>
    <t>Sud Est</t>
  </si>
  <si>
    <t>Normandie</t>
  </si>
  <si>
    <t>Centre loire</t>
  </si>
  <si>
    <t>Sud ouest</t>
  </si>
  <si>
    <t>Centre ouest</t>
  </si>
  <si>
    <t>Alpes</t>
  </si>
  <si>
    <t xml:space="preserve">AG2R 10K Montmartre </t>
  </si>
  <si>
    <t>New</t>
  </si>
  <si>
    <t>Est</t>
  </si>
  <si>
    <t>Grand sud</t>
  </si>
  <si>
    <t xml:space="preserve">Bretagne </t>
  </si>
  <si>
    <t>Centre</t>
  </si>
  <si>
    <t>Bourgogne</t>
  </si>
  <si>
    <t>Provins</t>
  </si>
  <si>
    <t xml:space="preserve">Marathon médiéval </t>
  </si>
  <si>
    <t>Avignon</t>
  </si>
  <si>
    <t>Marathon Avignon</t>
  </si>
  <si>
    <t>Provence Sports Org</t>
  </si>
  <si>
    <t>Ironman 70.3</t>
  </si>
  <si>
    <t>Ironman</t>
  </si>
  <si>
    <t>Ultra</t>
  </si>
  <si>
    <t>Camaret-sur-mer</t>
  </si>
  <si>
    <t>Semi-marathon du Finistère</t>
  </si>
  <si>
    <t>Prév 4k part en 2026</t>
  </si>
  <si>
    <t>Brest Running Tour</t>
  </si>
  <si>
    <t xml:space="preserve">1mile </t>
  </si>
  <si>
    <t>Villeneuve d'Ascq</t>
  </si>
  <si>
    <t>Course des 2 Stades</t>
  </si>
  <si>
    <t xml:space="preserve">La voix des sports </t>
  </si>
  <si>
    <t>Cible : 6k - 6km + 10km + enfants</t>
  </si>
  <si>
    <t>24H running</t>
  </si>
  <si>
    <t>Marathon du Cap d'Agde</t>
  </si>
  <si>
    <t>Nocturne // double boucle de 21,1km</t>
  </si>
  <si>
    <t xml:space="preserve">Balexert 20km de Genève </t>
  </si>
  <si>
    <t>Le Havre</t>
  </si>
  <si>
    <t>Le Havre Urban Trail</t>
  </si>
  <si>
    <t>Exaequo</t>
  </si>
  <si>
    <t>Villeurbanne</t>
  </si>
  <si>
    <t>Les Foulées de Villeurbanne</t>
  </si>
  <si>
    <t>Soli'Run</t>
  </si>
  <si>
    <t>Toulouse Onco Run</t>
  </si>
  <si>
    <t>Cabourg</t>
  </si>
  <si>
    <t>Semi Marathon de Cabourg</t>
  </si>
  <si>
    <t>Grenoble</t>
  </si>
  <si>
    <t xml:space="preserve">Grenoble Vizille </t>
  </si>
  <si>
    <t>Idée Alpe</t>
  </si>
  <si>
    <t>7 formats : trail 30/20km, rando</t>
  </si>
  <si>
    <t>Chablis</t>
  </si>
  <si>
    <t xml:space="preserve">Marathon de Chablis </t>
  </si>
  <si>
    <t>14km, randos - Festif</t>
  </si>
  <si>
    <t>Grenoble Ekiden by Giant</t>
  </si>
  <si>
    <t>42km via 6 participants</t>
  </si>
  <si>
    <t>Troyes</t>
  </si>
  <si>
    <t>Semi-marathon de Troyes</t>
  </si>
  <si>
    <t xml:space="preserve">Course enfant </t>
  </si>
  <si>
    <t>Villard-de-Lans</t>
  </si>
  <si>
    <t xml:space="preserve">Marathon du Vercors </t>
  </si>
  <si>
    <t>20km, Rando</t>
  </si>
  <si>
    <t xml:space="preserve">Bayeux </t>
  </si>
  <si>
    <t>Les Foulées de Bayeux</t>
  </si>
  <si>
    <t xml:space="preserve">TB Marketing </t>
  </si>
  <si>
    <t>Marches, Relais</t>
  </si>
  <si>
    <t>10 km de Marseille</t>
  </si>
  <si>
    <t>La corrida de Noël de Toulouse</t>
  </si>
  <si>
    <t>Marche nordique, marche 5km</t>
  </si>
  <si>
    <t>10 km du 14e</t>
  </si>
  <si>
    <t>Blagnac</t>
  </si>
  <si>
    <t>21km de Blagnac</t>
  </si>
  <si>
    <t>Fontainebeau</t>
  </si>
  <si>
    <t>Foulée Impériale de Fontainebleau</t>
  </si>
  <si>
    <t>20 km de Montpellier</t>
  </si>
  <si>
    <t>Ambes</t>
  </si>
  <si>
    <t xml:space="preserve">Marathon des deux rives </t>
  </si>
  <si>
    <t>Nuit St Georges</t>
  </si>
  <si>
    <t>Semi de Nuits Saint Georges</t>
  </si>
  <si>
    <t>Houilles</t>
  </si>
  <si>
    <t>Corrida de Houilles</t>
  </si>
  <si>
    <t>La Marseillaise des Femmes</t>
  </si>
  <si>
    <t xml:space="preserve">Semi de Mulhouse </t>
  </si>
  <si>
    <t>Team Com</t>
  </si>
  <si>
    <t xml:space="preserve">Agence com' locale </t>
  </si>
  <si>
    <t>Ekiden France Environnement</t>
  </si>
  <si>
    <t>Montreuil</t>
  </si>
  <si>
    <t>La Foulée Montreuilloise</t>
  </si>
  <si>
    <t>2,5km / caritatif</t>
  </si>
  <si>
    <t>10km du Neuf</t>
  </si>
  <si>
    <t xml:space="preserve">Courir pour toit </t>
  </si>
  <si>
    <t>Hyères</t>
  </si>
  <si>
    <t xml:space="preserve">Semi Marathon et 10km de Hyères </t>
  </si>
  <si>
    <t xml:space="preserve">Trail de Nantes à Montaigu </t>
  </si>
  <si>
    <t>Marseille-Aix, le Trail Métropolitain</t>
  </si>
  <si>
    <t>Urban Trail : 12km et 42km</t>
  </si>
  <si>
    <t>Blaye</t>
  </si>
  <si>
    <t>Marathon des vins de Blaye</t>
  </si>
  <si>
    <t xml:space="preserve">ACSE - Ekiden de Strasbourg </t>
  </si>
  <si>
    <t xml:space="preserve">Orange Vélodrome Trail </t>
  </si>
  <si>
    <t>Mars360</t>
  </si>
  <si>
    <t>Semi-marathon des sources du lac d’Annecy</t>
  </si>
  <si>
    <t>Urban Trail de Villeneuve lez Avignon</t>
  </si>
  <si>
    <t>DBO Marketing</t>
  </si>
  <si>
    <t>5km et 9km</t>
  </si>
  <si>
    <t>Bacala Night</t>
  </si>
  <si>
    <t>course de nuit festive</t>
  </si>
  <si>
    <t xml:space="preserve">La Rennaise </t>
  </si>
  <si>
    <t>7,5km, 15km, 10km nocturne</t>
  </si>
  <si>
    <t>Marcq-en-Baroeul</t>
  </si>
  <si>
    <t>Semi de Marcq-en-Baroeul</t>
  </si>
  <si>
    <t>7km</t>
  </si>
  <si>
    <t>Allianz Riviera Run</t>
  </si>
  <si>
    <t xml:space="preserve">Allianz Riviera </t>
  </si>
  <si>
    <t>7km,4km,2km</t>
  </si>
  <si>
    <t>Ekiden de Toulouse</t>
  </si>
  <si>
    <t>Urban Trail de la butte Montmartre</t>
  </si>
  <si>
    <t xml:space="preserve">7km ou marche </t>
  </si>
  <si>
    <t>Lorient</t>
  </si>
  <si>
    <t>Run à l’Orient</t>
  </si>
  <si>
    <t>Marseille en rose</t>
  </si>
  <si>
    <t>8km,6km,4km,2Km</t>
  </si>
  <si>
    <t>Arcachon</t>
  </si>
  <si>
    <t>Marathon d'Arcachon</t>
  </si>
  <si>
    <t>Ekiden de Marseille</t>
  </si>
  <si>
    <t xml:space="preserve">Pau </t>
  </si>
  <si>
    <t xml:space="preserve">Ekiden Pau- Bearn </t>
  </si>
  <si>
    <t>La Nocturne de Marseille</t>
  </si>
  <si>
    <t>marche 2,5km</t>
  </si>
  <si>
    <t>The flames Race</t>
  </si>
  <si>
    <t>Courses d'orientation</t>
  </si>
  <si>
    <t xml:space="preserve">Full Moon Infinity - Marseille </t>
  </si>
  <si>
    <t>Full Moon Trail</t>
  </si>
  <si>
    <t>inspiré de Backyard ultra</t>
  </si>
  <si>
    <t>Trail Urbain Nantais</t>
  </si>
  <si>
    <t>Marathon du Finistère - La Transléonarde</t>
  </si>
  <si>
    <t>Marche, Trail 14km</t>
  </si>
  <si>
    <t>Lac de Monteux</t>
  </si>
  <si>
    <t>Ventouxman</t>
  </si>
  <si>
    <t xml:space="preserve">Course de la St Valentin </t>
  </si>
  <si>
    <t>Aix en Provence</t>
  </si>
  <si>
    <t xml:space="preserve">Aix en foulées </t>
  </si>
  <si>
    <t>La Colle sur Loup</t>
  </si>
  <si>
    <t>Village trail La Colle sur Loup</t>
  </si>
  <si>
    <t>Village trail de 8km et 12km</t>
  </si>
  <si>
    <t>Lac de Nuanta</t>
  </si>
  <si>
    <t>Gravity Race</t>
  </si>
  <si>
    <t>Swim-Run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</si>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</sst>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C]d\-mmm;@"/>
    <numFmt numFmtId="165" formatCode="_-* #,##0_-;\-* #,##0_-;_-* &quot;-&quot;??_-;_-@_-"/>
    <numFmt numFmtId="166" formatCode="[$-409]d\-mmm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1"/>
      <color theme="1"/>
      <name val="Calibri"/>
      <family val="2"/>
      <scheme val="minor"/>
    </font>
    <font>
      <sz val="8"/>
      <color theme="1"/>
      <name val="Arial Black"/>
      <family val="2"/>
    </font>
    <font>
      <sz val="9"/>
      <color theme="1"/>
      <name val="Arial"/>
      <family val="2"/>
    </font>
    <font>
      <sz val="9"/>
      <color theme="1"/>
      <name val="Meiryo"/>
      <family val="2"/>
      <charset val="128"/>
    </font>
    <font>
      <sz val="8"/>
      <color theme="1"/>
      <name val="Work Sans"/>
      <family val="2"/>
      <charset val="1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0" fillId="6" borderId="0" xfId="0" applyFill="1"/>
    <xf numFmtId="16" fontId="3" fillId="0" borderId="0" xfId="0" applyNumberFormat="1" applyFont="1"/>
    <xf numFmtId="0" fontId="4" fillId="0" borderId="0" xfId="0" applyFont="1"/>
    <xf numFmtId="16" fontId="0" fillId="0" borderId="0" xfId="0" applyNumberFormat="1"/>
    <xf numFmtId="1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20" fontId="0" fillId="0" borderId="0" xfId="0" applyNumberFormat="1"/>
    <xf numFmtId="0" fontId="0" fillId="5" borderId="0" xfId="0" applyFill="1"/>
    <xf numFmtId="0" fontId="0" fillId="8" borderId="0" xfId="0" applyFill="1" applyAlignment="1">
      <alignment wrapText="1"/>
    </xf>
    <xf numFmtId="15" fontId="0" fillId="0" borderId="0" xfId="0" applyNumberFormat="1"/>
    <xf numFmtId="0" fontId="0" fillId="2" borderId="0" xfId="0" applyFill="1" applyAlignment="1">
      <alignment horizontal="center"/>
    </xf>
    <xf numFmtId="164" fontId="0" fillId="0" borderId="0" xfId="0" applyNumberFormat="1"/>
    <xf numFmtId="165" fontId="0" fillId="0" borderId="0" xfId="2" applyNumberFormat="1" applyFont="1" applyFill="1"/>
    <xf numFmtId="165" fontId="0" fillId="0" borderId="0" xfId="2" applyNumberFormat="1" applyFont="1"/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5" fillId="0" borderId="0" xfId="0" applyFont="1"/>
    <xf numFmtId="0" fontId="4" fillId="0" borderId="0" xfId="0" applyFont="1" applyAlignment="1">
      <alignment horizontal="left" vertical="top"/>
    </xf>
    <xf numFmtId="0" fontId="6" fillId="0" borderId="0" xfId="1" applyFont="1"/>
    <xf numFmtId="0" fontId="7" fillId="0" borderId="0" xfId="0" applyFont="1"/>
    <xf numFmtId="0" fontId="8" fillId="0" borderId="0" xfId="0" applyFont="1"/>
    <xf numFmtId="166" fontId="4" fillId="0" borderId="0" xfId="0" applyNumberFormat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16" fontId="11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5" fontId="0" fillId="0" borderId="0" xfId="2" applyNumberFormat="1" applyFont="1" applyAlignment="1">
      <alignment horizontal="right"/>
    </xf>
    <xf numFmtId="165" fontId="0" fillId="7" borderId="0" xfId="2" applyNumberFormat="1" applyFont="1" applyFill="1"/>
    <xf numFmtId="165" fontId="11" fillId="0" borderId="0" xfId="2" applyNumberFormat="1" applyFont="1"/>
    <xf numFmtId="0" fontId="0" fillId="0" borderId="0" xfId="0"/>
    <xf numFmtId="0" fontId="15" fillId="0" borderId="0" xfId="0" applyFont="1"/>
    <xf numFmtId="164" fontId="15" fillId="0" borderId="0" xfId="0" applyNumberFormat="1" applyFont="1"/>
    <xf numFmtId="165" fontId="15" fillId="0" borderId="0" xfId="2" applyNumberFormat="1" applyFont="1" applyFill="1"/>
    <xf numFmtId="165" fontId="16" fillId="0" borderId="0" xfId="2" applyNumberFormat="1" applyFont="1" applyFill="1"/>
    <xf numFmtId="165" fontId="15" fillId="0" borderId="0" xfId="2" applyNumberFormat="1" applyFont="1"/>
    <xf numFmtId="165" fontId="16" fillId="0" borderId="0" xfId="2" applyNumberFormat="1" applyFont="1"/>
    <xf numFmtId="165" fontId="15" fillId="0" borderId="0" xfId="2" applyNumberFormat="1" applyFont="1" applyAlignment="1">
      <alignment horizontal="right"/>
    </xf>
    <xf numFmtId="0" fontId="15" fillId="4" borderId="0" xfId="0" applyFont="1" applyFill="1"/>
    <xf numFmtId="0" fontId="13" fillId="3" borderId="0" xfId="0" applyFont="1" applyFill="1"/>
    <xf numFmtId="0" fontId="13" fillId="0" borderId="0" xfId="0" applyFont="1"/>
    <xf numFmtId="0" fontId="0" fillId="9" borderId="0" xfId="0" applyFill="1"/>
    <xf numFmtId="9" fontId="0" fillId="0" borderId="0" xfId="3" applyNumberFormat="1" applyFont="1" applyAlignment="1">
      <alignment horizontal="right"/>
    </xf>
    <xf numFmtId="0" fontId="12" fillId="10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4" fillId="3" borderId="0" xfId="0" applyFont="1" applyFill="1"/>
    <xf numFmtId="165" fontId="17" fillId="0" borderId="0" xfId="2" applyNumberFormat="1" applyFont="1"/>
    <xf numFmtId="165" fontId="15" fillId="7" borderId="0" xfId="2" applyNumberFormat="1" applyFont="1" applyFill="1"/>
  </cellXfs>
  <cellStyles count="4">
    <cellStyle name="Lien hypertexte" xfId="1" builtinId="8"/>
    <cellStyle name="Milliers" xfId="2" builtinId="3"/>
    <cellStyle name="Normal" xfId="0" builtinId="0"/>
    <cellStyle name="Pourcentage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di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0BE3-9E1A-43AF-9808-CBDF2F58082F}">
  <dimension ref="A1:U1024"/>
  <sheetViews>
    <sheetView tabSelected="1" zoomScale="70" zoomScaleNormal="70" workbookViewId="0">
      <pane ySplit="2" topLeftCell="A3" activePane="bottomLeft" state="frozen"/>
      <selection pane="bottomLeft" activeCell="M11" sqref="M11"/>
    </sheetView>
  </sheetViews>
  <sheetFormatPr baseColWidth="10" defaultColWidth="11.453125" defaultRowHeight="15" customHeight="1" x14ac:dyDescent="0.35"/>
  <cols>
    <col min="1" max="1" width="11.453125" customWidth="1"/>
    <col min="2" max="3" width="13.1796875" customWidth="1"/>
    <col min="5" max="5" width="22.1796875" customWidth="1"/>
    <col min="6" max="6" width="14.26953125" customWidth="1"/>
    <col min="7" max="7" width="17.08984375" customWidth="1"/>
    <col min="14" max="14" width="21.81640625" customWidth="1"/>
    <col min="15" max="15" width="11.453125" style="15"/>
    <col min="16" max="16" width="11.453125" style="38"/>
    <col min="17" max="19" width="11.453125" style="15"/>
    <col min="21" max="21" width="57" bestFit="1" customWidth="1"/>
  </cols>
  <sheetData>
    <row r="1" spans="1:21" ht="14.5" x14ac:dyDescent="0.35">
      <c r="A1" s="33"/>
      <c r="B1" s="33"/>
      <c r="J1" s="47" t="s">
        <v>0</v>
      </c>
      <c r="K1" s="47"/>
      <c r="L1" s="47"/>
      <c r="M1" s="47"/>
      <c r="N1" s="12"/>
      <c r="O1" s="46">
        <v>2025</v>
      </c>
      <c r="P1" s="46"/>
      <c r="Q1" s="46"/>
      <c r="R1" s="47">
        <v>2026</v>
      </c>
      <c r="S1" s="47"/>
      <c r="T1" s="44"/>
      <c r="U1" s="44"/>
    </row>
    <row r="2" spans="1:21" s="43" customFormat="1" ht="14.5" x14ac:dyDescent="0.35">
      <c r="A2" s="42" t="s">
        <v>1</v>
      </c>
      <c r="B2" s="42" t="s">
        <v>2</v>
      </c>
      <c r="C2" s="42" t="s">
        <v>2317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K2" s="42" t="s">
        <v>10</v>
      </c>
      <c r="L2" s="42" t="s">
        <v>11</v>
      </c>
      <c r="M2" s="42" t="s">
        <v>12</v>
      </c>
      <c r="N2" s="42" t="s">
        <v>13</v>
      </c>
      <c r="O2" s="42" t="s">
        <v>2315</v>
      </c>
      <c r="P2" s="48" t="s">
        <v>2316</v>
      </c>
      <c r="Q2" s="42" t="s">
        <v>2467</v>
      </c>
      <c r="R2" s="42" t="s">
        <v>2315</v>
      </c>
      <c r="S2" s="42" t="s">
        <v>2316</v>
      </c>
      <c r="T2" s="42" t="s">
        <v>14</v>
      </c>
      <c r="U2" s="42" t="s">
        <v>15</v>
      </c>
    </row>
    <row r="3" spans="1:21" ht="14.5" x14ac:dyDescent="0.35">
      <c r="A3" t="s">
        <v>16</v>
      </c>
      <c r="B3" t="s">
        <v>17</v>
      </c>
      <c r="D3" t="s">
        <v>18</v>
      </c>
      <c r="E3" t="s">
        <v>19</v>
      </c>
      <c r="F3" s="4">
        <v>46243</v>
      </c>
      <c r="G3" t="s">
        <v>20</v>
      </c>
      <c r="H3" t="s">
        <v>21</v>
      </c>
      <c r="I3" t="s">
        <v>22</v>
      </c>
      <c r="N3" t="s">
        <v>23</v>
      </c>
      <c r="O3" s="30">
        <v>84000</v>
      </c>
      <c r="P3" s="40">
        <v>73254</v>
      </c>
      <c r="Q3" s="45">
        <f>P3/O3</f>
        <v>0.87207142857142861</v>
      </c>
      <c r="R3" s="30"/>
      <c r="S3" s="30"/>
    </row>
    <row r="4" spans="1:21" ht="14.5" x14ac:dyDescent="0.35">
      <c r="A4" t="s">
        <v>30</v>
      </c>
      <c r="B4" t="s">
        <v>31</v>
      </c>
      <c r="D4" t="s">
        <v>32</v>
      </c>
      <c r="E4" t="s">
        <v>33</v>
      </c>
      <c r="F4" s="4">
        <v>46327</v>
      </c>
      <c r="G4" t="s">
        <v>34</v>
      </c>
      <c r="H4" t="s">
        <v>21</v>
      </c>
      <c r="I4" t="s">
        <v>22</v>
      </c>
      <c r="J4" t="s">
        <v>35</v>
      </c>
      <c r="O4" s="30">
        <v>65000</v>
      </c>
      <c r="P4" s="40">
        <v>59226</v>
      </c>
      <c r="Q4" s="45">
        <f>P4/O4</f>
        <v>0.91116923076923073</v>
      </c>
      <c r="R4" s="30"/>
      <c r="S4" s="30"/>
    </row>
    <row r="5" spans="1:21" ht="14.5" x14ac:dyDescent="0.35">
      <c r="A5" t="s">
        <v>36</v>
      </c>
      <c r="B5" t="s">
        <v>25</v>
      </c>
      <c r="D5" t="s">
        <v>36</v>
      </c>
      <c r="E5" t="s">
        <v>37</v>
      </c>
      <c r="F5" s="4">
        <v>46040</v>
      </c>
      <c r="G5" t="s">
        <v>38</v>
      </c>
      <c r="H5" t="s">
        <v>21</v>
      </c>
      <c r="I5" t="s">
        <v>22</v>
      </c>
      <c r="J5" t="s">
        <v>35</v>
      </c>
      <c r="K5">
        <v>22872</v>
      </c>
      <c r="L5" t="s">
        <v>35</v>
      </c>
      <c r="M5" t="s">
        <v>35</v>
      </c>
      <c r="O5" s="30">
        <v>70000</v>
      </c>
      <c r="P5" s="40">
        <f>3596+1255+2435+19+208*15+6+184*15+1+132*15+11+445*15+440*15+10+389*15+7+225*15+6+234*15+271*15+3+273*15+250*15+286*15+6</f>
        <v>57410</v>
      </c>
      <c r="Q5" s="45">
        <f>P5/O5</f>
        <v>0.82014285714285717</v>
      </c>
      <c r="R5" s="30"/>
      <c r="S5" s="30"/>
      <c r="T5">
        <v>1997</v>
      </c>
    </row>
    <row r="6" spans="1:21" ht="14.5" x14ac:dyDescent="0.35">
      <c r="A6" t="s">
        <v>39</v>
      </c>
      <c r="B6" t="s">
        <v>40</v>
      </c>
      <c r="D6" t="s">
        <v>41</v>
      </c>
      <c r="E6" t="s">
        <v>42</v>
      </c>
      <c r="F6" s="4">
        <v>46138</v>
      </c>
      <c r="G6" t="s">
        <v>43</v>
      </c>
      <c r="H6" t="s">
        <v>21</v>
      </c>
      <c r="I6" t="s">
        <v>22</v>
      </c>
      <c r="J6" t="s">
        <v>35</v>
      </c>
      <c r="O6" s="15">
        <v>56000</v>
      </c>
      <c r="P6" s="40">
        <v>56640</v>
      </c>
      <c r="Q6" s="45">
        <f>P6/O6</f>
        <v>1.0114285714285713</v>
      </c>
      <c r="R6" s="30"/>
      <c r="S6" s="30"/>
    </row>
    <row r="7" spans="1:21" ht="14.5" x14ac:dyDescent="0.35">
      <c r="A7" s="34" t="s">
        <v>44</v>
      </c>
      <c r="B7" s="34" t="s">
        <v>40</v>
      </c>
      <c r="C7" s="34" t="s">
        <v>2318</v>
      </c>
      <c r="D7" s="34" t="s">
        <v>45</v>
      </c>
      <c r="E7" s="34" t="s">
        <v>46</v>
      </c>
      <c r="F7" s="35">
        <v>46124</v>
      </c>
      <c r="G7" s="34" t="s">
        <v>47</v>
      </c>
      <c r="H7" s="34" t="s">
        <v>48</v>
      </c>
      <c r="I7" s="34" t="s">
        <v>22</v>
      </c>
      <c r="J7" s="36">
        <v>66360</v>
      </c>
      <c r="K7" s="36"/>
      <c r="L7" s="36"/>
      <c r="M7" s="36"/>
      <c r="N7" s="34"/>
      <c r="O7" s="36">
        <v>66360</v>
      </c>
      <c r="P7" s="36">
        <v>55499</v>
      </c>
      <c r="Q7" s="45">
        <f>P7/O7</f>
        <v>0.83633212778782395</v>
      </c>
      <c r="R7" s="36"/>
      <c r="S7" s="37"/>
      <c r="T7" s="34"/>
      <c r="U7" s="34"/>
    </row>
    <row r="8" spans="1:21" ht="14.5" x14ac:dyDescent="0.35">
      <c r="A8" t="s">
        <v>49</v>
      </c>
      <c r="B8" t="s">
        <v>50</v>
      </c>
      <c r="D8" t="s">
        <v>51</v>
      </c>
      <c r="E8" t="s">
        <v>52</v>
      </c>
      <c r="F8" s="4">
        <v>46180</v>
      </c>
      <c r="G8" t="s">
        <v>53</v>
      </c>
      <c r="I8" t="s">
        <v>22</v>
      </c>
      <c r="J8">
        <f>3776+9349</f>
        <v>13125</v>
      </c>
      <c r="K8">
        <f>12744+10936</f>
        <v>23680</v>
      </c>
      <c r="L8">
        <f>10075</f>
        <v>10075</v>
      </c>
      <c r="M8">
        <v>7614</v>
      </c>
      <c r="O8" s="30">
        <v>45000</v>
      </c>
      <c r="P8" s="40">
        <f>SUM(J8:M8)</f>
        <v>54494</v>
      </c>
      <c r="Q8" s="45">
        <f>P8/O8</f>
        <v>1.2109777777777777</v>
      </c>
      <c r="R8" s="30"/>
      <c r="S8" s="30"/>
    </row>
    <row r="9" spans="1:21" ht="14.5" x14ac:dyDescent="0.35">
      <c r="A9" t="s">
        <v>30</v>
      </c>
      <c r="B9" t="s">
        <v>31</v>
      </c>
      <c r="D9" t="s">
        <v>54</v>
      </c>
      <c r="E9" t="s">
        <v>55</v>
      </c>
      <c r="F9" s="4">
        <v>46306</v>
      </c>
      <c r="G9" t="s">
        <v>38</v>
      </c>
      <c r="H9" t="s">
        <v>21</v>
      </c>
      <c r="I9" t="s">
        <v>22</v>
      </c>
      <c r="J9" t="s">
        <v>35</v>
      </c>
      <c r="O9" s="30">
        <v>63000</v>
      </c>
      <c r="P9" s="40">
        <v>54351</v>
      </c>
      <c r="Q9" s="45">
        <f>P9/O9</f>
        <v>0.86271428571428577</v>
      </c>
      <c r="R9" s="30"/>
      <c r="S9" s="30"/>
    </row>
    <row r="10" spans="1:21" ht="14.5" x14ac:dyDescent="0.35">
      <c r="A10" t="s">
        <v>49</v>
      </c>
      <c r="B10" t="s">
        <v>50</v>
      </c>
      <c r="D10" t="s">
        <v>56</v>
      </c>
      <c r="E10" t="s">
        <v>57</v>
      </c>
      <c r="F10" s="4">
        <v>46348</v>
      </c>
      <c r="G10" t="s">
        <v>58</v>
      </c>
      <c r="H10" t="s">
        <v>48</v>
      </c>
      <c r="I10" t="s">
        <v>22</v>
      </c>
      <c r="O10" s="30">
        <v>55000</v>
      </c>
      <c r="P10" s="40">
        <v>53464</v>
      </c>
      <c r="Q10" s="45">
        <f>P10/O10</f>
        <v>0.97207272727272731</v>
      </c>
      <c r="R10" s="30"/>
      <c r="S10" s="30"/>
      <c r="U10" t="s">
        <v>59</v>
      </c>
    </row>
    <row r="11" spans="1:21" ht="14.5" x14ac:dyDescent="0.35">
      <c r="A11" t="s">
        <v>60</v>
      </c>
      <c r="B11" t="s">
        <v>40</v>
      </c>
      <c r="D11" t="s">
        <v>61</v>
      </c>
      <c r="E11" t="s">
        <v>2312</v>
      </c>
      <c r="F11" s="4">
        <v>46333</v>
      </c>
      <c r="G11" t="s">
        <v>38</v>
      </c>
      <c r="H11" t="s">
        <v>21</v>
      </c>
      <c r="I11" t="s">
        <v>22</v>
      </c>
      <c r="J11">
        <f>14671+4306</f>
        <v>18977</v>
      </c>
      <c r="L11">
        <f>8138+5506</f>
        <v>13644</v>
      </c>
      <c r="M11">
        <f>10289+9068</f>
        <v>19357</v>
      </c>
      <c r="O11" s="15">
        <v>74000</v>
      </c>
      <c r="P11" s="38">
        <f>J11+L11+M11</f>
        <v>51978</v>
      </c>
      <c r="Q11" s="45">
        <f>P11/O11</f>
        <v>0.70240540540540541</v>
      </c>
      <c r="U11" t="s">
        <v>62</v>
      </c>
    </row>
    <row r="12" spans="1:21" ht="14.5" x14ac:dyDescent="0.35">
      <c r="A12" t="s">
        <v>63</v>
      </c>
      <c r="B12" t="s">
        <v>40</v>
      </c>
      <c r="D12" t="s">
        <v>64</v>
      </c>
      <c r="E12" t="s">
        <v>65</v>
      </c>
      <c r="F12" s="4">
        <v>46362</v>
      </c>
      <c r="G12" t="s">
        <v>38</v>
      </c>
      <c r="H12" t="s">
        <v>21</v>
      </c>
      <c r="I12" t="s">
        <v>22</v>
      </c>
      <c r="L12" t="s">
        <v>35</v>
      </c>
      <c r="O12" s="15">
        <v>59712</v>
      </c>
      <c r="P12" s="38">
        <v>50702</v>
      </c>
      <c r="Q12" s="45">
        <f>P12/O12</f>
        <v>0.84910905680600213</v>
      </c>
      <c r="U12" t="s">
        <v>65</v>
      </c>
    </row>
    <row r="13" spans="1:21" ht="14.5" x14ac:dyDescent="0.35">
      <c r="A13" t="s">
        <v>66</v>
      </c>
      <c r="B13" t="s">
        <v>40</v>
      </c>
      <c r="D13" t="s">
        <v>67</v>
      </c>
      <c r="E13" t="s">
        <v>68</v>
      </c>
      <c r="F13" s="4">
        <v>46292</v>
      </c>
      <c r="G13" t="s">
        <v>69</v>
      </c>
      <c r="H13" t="s">
        <v>21</v>
      </c>
      <c r="I13" t="s">
        <v>22</v>
      </c>
      <c r="J13" t="s">
        <v>35</v>
      </c>
      <c r="O13" s="15">
        <v>55146</v>
      </c>
      <c r="P13" s="38">
        <v>48020</v>
      </c>
      <c r="Q13" s="45">
        <f>P13/O13</f>
        <v>0.87077938563087076</v>
      </c>
      <c r="U13" t="s">
        <v>70</v>
      </c>
    </row>
    <row r="14" spans="1:21" ht="14.5" x14ac:dyDescent="0.35">
      <c r="A14" s="34" t="s">
        <v>44</v>
      </c>
      <c r="B14" s="34" t="s">
        <v>40</v>
      </c>
      <c r="C14" s="34" t="s">
        <v>2318</v>
      </c>
      <c r="D14" s="34" t="s">
        <v>45</v>
      </c>
      <c r="E14" s="34" t="s">
        <v>71</v>
      </c>
      <c r="F14" s="35">
        <v>46089</v>
      </c>
      <c r="G14" s="34" t="s">
        <v>47</v>
      </c>
      <c r="H14" s="34" t="s">
        <v>48</v>
      </c>
      <c r="I14" s="34" t="s">
        <v>22</v>
      </c>
      <c r="J14" s="36"/>
      <c r="K14" s="36">
        <v>54508</v>
      </c>
      <c r="L14" s="36"/>
      <c r="M14" s="36"/>
      <c r="N14" s="34"/>
      <c r="O14" s="36">
        <v>54508</v>
      </c>
      <c r="P14" s="36">
        <v>47532</v>
      </c>
      <c r="Q14" s="45">
        <f>P14/O14</f>
        <v>0.87201878623321349</v>
      </c>
      <c r="R14" s="36"/>
      <c r="S14" s="37"/>
      <c r="T14" s="34"/>
      <c r="U14" s="34"/>
    </row>
    <row r="15" spans="1:21" ht="14.5" x14ac:dyDescent="0.35">
      <c r="A15" t="s">
        <v>72</v>
      </c>
      <c r="B15" t="s">
        <v>40</v>
      </c>
      <c r="D15" t="s">
        <v>73</v>
      </c>
      <c r="E15" t="s">
        <v>74</v>
      </c>
      <c r="F15" s="4">
        <v>46313</v>
      </c>
      <c r="G15" t="s">
        <v>75</v>
      </c>
      <c r="H15" t="s">
        <v>21</v>
      </c>
      <c r="I15" t="s">
        <v>22</v>
      </c>
      <c r="J15">
        <v>23328</v>
      </c>
      <c r="K15">
        <v>1341</v>
      </c>
      <c r="N15" t="s">
        <v>2308</v>
      </c>
      <c r="O15" s="15">
        <v>60000</v>
      </c>
      <c r="P15" s="38">
        <f>23328+13341+272+2161+7969</f>
        <v>47071</v>
      </c>
      <c r="Q15" s="45">
        <f>P15/O15</f>
        <v>0.78451666666666664</v>
      </c>
      <c r="T15">
        <v>1975</v>
      </c>
    </row>
    <row r="16" spans="1:21" ht="14.5" x14ac:dyDescent="0.35">
      <c r="A16" t="s">
        <v>39</v>
      </c>
      <c r="B16" t="s">
        <v>40</v>
      </c>
      <c r="D16" t="s">
        <v>76</v>
      </c>
      <c r="E16" t="s">
        <v>77</v>
      </c>
      <c r="F16" s="4">
        <v>46278</v>
      </c>
      <c r="G16" t="s">
        <v>78</v>
      </c>
      <c r="H16" t="s">
        <v>21</v>
      </c>
      <c r="I16" t="s">
        <v>22</v>
      </c>
      <c r="K16" t="s">
        <v>35</v>
      </c>
      <c r="O16" s="15">
        <v>60000</v>
      </c>
      <c r="P16" s="38">
        <v>46257</v>
      </c>
      <c r="Q16" s="45">
        <f>P16/O16</f>
        <v>0.77095000000000002</v>
      </c>
      <c r="U16" t="s">
        <v>79</v>
      </c>
    </row>
    <row r="17" spans="1:21" ht="14.5" x14ac:dyDescent="0.35">
      <c r="A17" t="s">
        <v>80</v>
      </c>
      <c r="B17" t="s">
        <v>81</v>
      </c>
      <c r="D17" t="s">
        <v>82</v>
      </c>
      <c r="E17" t="s">
        <v>83</v>
      </c>
      <c r="F17" s="4">
        <v>46348</v>
      </c>
      <c r="G17" t="s">
        <v>84</v>
      </c>
      <c r="H17" t="s">
        <v>21</v>
      </c>
      <c r="I17" t="s">
        <v>22</v>
      </c>
      <c r="L17" t="s">
        <v>35</v>
      </c>
      <c r="O17" s="15">
        <v>55000</v>
      </c>
      <c r="P17" s="38">
        <f>O17-O17*0.17</f>
        <v>45650</v>
      </c>
      <c r="Q17" s="45">
        <f>P17/O17</f>
        <v>0.83</v>
      </c>
    </row>
    <row r="18" spans="1:21" ht="14.5" x14ac:dyDescent="0.35">
      <c r="A18" t="s">
        <v>85</v>
      </c>
      <c r="B18" t="s">
        <v>40</v>
      </c>
      <c r="D18" t="s">
        <v>86</v>
      </c>
      <c r="E18" t="s">
        <v>87</v>
      </c>
      <c r="F18" s="4">
        <v>46165</v>
      </c>
      <c r="G18" t="s">
        <v>38</v>
      </c>
      <c r="H18" t="s">
        <v>21</v>
      </c>
      <c r="I18" t="s">
        <v>22</v>
      </c>
      <c r="K18" t="s">
        <v>35</v>
      </c>
      <c r="O18" s="15">
        <v>62000</v>
      </c>
      <c r="P18" s="38">
        <v>45160</v>
      </c>
      <c r="Q18" s="45">
        <f>P18/O18</f>
        <v>0.72838709677419355</v>
      </c>
      <c r="U18" t="s">
        <v>88</v>
      </c>
    </row>
    <row r="19" spans="1:21" ht="14.5" x14ac:dyDescent="0.35">
      <c r="A19" t="s">
        <v>30</v>
      </c>
      <c r="B19" t="s">
        <v>31</v>
      </c>
      <c r="D19" t="s">
        <v>89</v>
      </c>
      <c r="E19" t="s">
        <v>90</v>
      </c>
      <c r="F19" s="4">
        <v>46167</v>
      </c>
      <c r="G19" t="s">
        <v>90</v>
      </c>
      <c r="H19" t="s">
        <v>21</v>
      </c>
      <c r="I19" t="s">
        <v>22</v>
      </c>
      <c r="L19" t="s">
        <v>35</v>
      </c>
      <c r="O19" s="30">
        <v>52000</v>
      </c>
      <c r="P19" s="40">
        <f>45055</f>
        <v>45055</v>
      </c>
      <c r="Q19" s="45">
        <f>P19/O19</f>
        <v>0.86644230769230768</v>
      </c>
      <c r="R19" s="30"/>
      <c r="S19" s="30"/>
      <c r="T19">
        <v>1979</v>
      </c>
    </row>
    <row r="20" spans="1:21" ht="14.5" x14ac:dyDescent="0.35">
      <c r="A20" t="s">
        <v>30</v>
      </c>
      <c r="B20" t="s">
        <v>31</v>
      </c>
      <c r="D20" t="s">
        <v>91</v>
      </c>
      <c r="E20" t="s">
        <v>92</v>
      </c>
      <c r="F20" s="4">
        <v>46207</v>
      </c>
      <c r="G20" t="s">
        <v>93</v>
      </c>
      <c r="H20" t="s">
        <v>21</v>
      </c>
      <c r="I20" t="s">
        <v>22</v>
      </c>
      <c r="L20" t="s">
        <v>35</v>
      </c>
      <c r="O20" s="30">
        <v>50000</v>
      </c>
      <c r="P20" s="40">
        <v>43654</v>
      </c>
      <c r="Q20" s="45">
        <f>P20/O20</f>
        <v>0.87307999999999997</v>
      </c>
      <c r="R20" s="30"/>
      <c r="S20" s="30"/>
    </row>
    <row r="21" spans="1:21" ht="14.5" x14ac:dyDescent="0.35">
      <c r="A21" t="s">
        <v>94</v>
      </c>
      <c r="B21" t="s">
        <v>50</v>
      </c>
      <c r="D21" t="s">
        <v>95</v>
      </c>
      <c r="E21" t="s">
        <v>96</v>
      </c>
      <c r="F21" s="4">
        <v>46229</v>
      </c>
      <c r="G21" t="s">
        <v>97</v>
      </c>
      <c r="I21" t="s">
        <v>22</v>
      </c>
      <c r="K21">
        <v>21011</v>
      </c>
      <c r="L21" t="s">
        <v>35</v>
      </c>
      <c r="M21" t="s">
        <v>35</v>
      </c>
      <c r="O21" s="30">
        <v>50680</v>
      </c>
      <c r="P21" s="40">
        <v>42000</v>
      </c>
      <c r="Q21" s="45">
        <f>P21/O21</f>
        <v>0.82872928176795579</v>
      </c>
      <c r="R21" s="30"/>
      <c r="S21" s="30"/>
    </row>
    <row r="22" spans="1:21" ht="14.5" x14ac:dyDescent="0.35">
      <c r="A22" t="s">
        <v>98</v>
      </c>
      <c r="B22" t="s">
        <v>40</v>
      </c>
      <c r="D22" t="s">
        <v>99</v>
      </c>
      <c r="E22" t="s">
        <v>100</v>
      </c>
      <c r="F22" s="4">
        <v>46173</v>
      </c>
      <c r="G22" t="s">
        <v>3</v>
      </c>
      <c r="H22" t="s">
        <v>21</v>
      </c>
      <c r="I22" t="s">
        <v>22</v>
      </c>
      <c r="N22" t="s">
        <v>101</v>
      </c>
      <c r="O22" s="15">
        <v>45145</v>
      </c>
      <c r="P22" s="38">
        <v>41616</v>
      </c>
      <c r="Q22" s="45">
        <f>P22/O22</f>
        <v>0.9218296599844944</v>
      </c>
      <c r="T22">
        <v>1980</v>
      </c>
    </row>
    <row r="23" spans="1:21" ht="14.5" x14ac:dyDescent="0.35">
      <c r="A23" t="s">
        <v>105</v>
      </c>
      <c r="B23" t="s">
        <v>25</v>
      </c>
      <c r="D23" t="s">
        <v>105</v>
      </c>
      <c r="E23" t="s">
        <v>106</v>
      </c>
      <c r="F23" s="4">
        <v>46363</v>
      </c>
      <c r="G23" t="s">
        <v>107</v>
      </c>
      <c r="H23" t="s">
        <v>48</v>
      </c>
      <c r="I23" t="s">
        <v>22</v>
      </c>
      <c r="J23">
        <v>8933</v>
      </c>
      <c r="K23">
        <v>14747</v>
      </c>
      <c r="L23">
        <v>10143</v>
      </c>
      <c r="M23">
        <v>5610</v>
      </c>
      <c r="N23" t="s">
        <v>108</v>
      </c>
      <c r="O23" s="15">
        <v>55000</v>
      </c>
      <c r="P23" s="38">
        <f>SUM(J23:M23)+117*4</f>
        <v>39901</v>
      </c>
      <c r="Q23" s="45">
        <f>P23/O23</f>
        <v>0.72547272727272727</v>
      </c>
      <c r="T23">
        <v>1982</v>
      </c>
      <c r="U23" t="s">
        <v>109</v>
      </c>
    </row>
    <row r="24" spans="1:21" ht="14.5" x14ac:dyDescent="0.35">
      <c r="A24" t="s">
        <v>110</v>
      </c>
      <c r="B24" t="s">
        <v>31</v>
      </c>
      <c r="D24" t="s">
        <v>111</v>
      </c>
      <c r="E24" t="s">
        <v>112</v>
      </c>
      <c r="F24" s="4">
        <v>46131</v>
      </c>
      <c r="G24" t="s">
        <v>113</v>
      </c>
      <c r="H24" t="s">
        <v>48</v>
      </c>
      <c r="I24" t="s">
        <v>22</v>
      </c>
      <c r="L24" t="s">
        <v>35</v>
      </c>
      <c r="N24">
        <v>2.5</v>
      </c>
      <c r="O24" s="30">
        <v>39586</v>
      </c>
      <c r="P24" s="40">
        <v>39385</v>
      </c>
      <c r="Q24" s="45">
        <f>P24/O24</f>
        <v>0.99492244732986412</v>
      </c>
      <c r="R24" s="30"/>
      <c r="S24" s="30"/>
      <c r="T24">
        <v>1985</v>
      </c>
      <c r="U24" t="s">
        <v>114</v>
      </c>
    </row>
    <row r="25" spans="1:21" ht="14.5" x14ac:dyDescent="0.35">
      <c r="A25" s="34" t="s">
        <v>44</v>
      </c>
      <c r="B25" s="34" t="s">
        <v>40</v>
      </c>
      <c r="C25" s="34" t="s">
        <v>115</v>
      </c>
      <c r="D25" s="34" t="s">
        <v>115</v>
      </c>
      <c r="E25" s="34" t="s">
        <v>116</v>
      </c>
      <c r="F25" s="35">
        <v>46299</v>
      </c>
      <c r="G25" s="34" t="s">
        <v>47</v>
      </c>
      <c r="H25" s="34" t="s">
        <v>1775</v>
      </c>
      <c r="I25" s="34" t="s">
        <v>22</v>
      </c>
      <c r="J25" s="36">
        <v>6283</v>
      </c>
      <c r="K25" s="36">
        <v>18339</v>
      </c>
      <c r="L25" s="36">
        <v>12829</v>
      </c>
      <c r="M25" s="36">
        <v>1024</v>
      </c>
      <c r="N25" s="36" t="s">
        <v>117</v>
      </c>
      <c r="O25" s="36">
        <f>J25+K25+L25+M25</f>
        <v>38475</v>
      </c>
      <c r="P25" s="36">
        <v>38475</v>
      </c>
      <c r="Q25" s="45">
        <f>P25/O25</f>
        <v>1</v>
      </c>
      <c r="R25" s="38"/>
      <c r="S25" s="39"/>
      <c r="T25" s="34"/>
      <c r="U25" s="34"/>
    </row>
    <row r="26" spans="1:21" ht="14.5" x14ac:dyDescent="0.35">
      <c r="A26" t="s">
        <v>118</v>
      </c>
      <c r="B26" t="s">
        <v>25</v>
      </c>
      <c r="D26" t="s">
        <v>119</v>
      </c>
      <c r="E26" t="s">
        <v>120</v>
      </c>
      <c r="F26" s="4">
        <v>46096</v>
      </c>
      <c r="G26" t="s">
        <v>38</v>
      </c>
      <c r="H26" t="s">
        <v>21</v>
      </c>
      <c r="I26" t="s">
        <v>22</v>
      </c>
      <c r="J26">
        <v>19007</v>
      </c>
      <c r="L26">
        <v>18615</v>
      </c>
      <c r="O26" s="30">
        <v>40000</v>
      </c>
      <c r="P26" s="40">
        <f>19007+18615</f>
        <v>37622</v>
      </c>
      <c r="Q26" s="45">
        <f>P26/O26</f>
        <v>0.94055</v>
      </c>
      <c r="R26" s="30"/>
      <c r="S26" s="30"/>
      <c r="U26" t="s">
        <v>121</v>
      </c>
    </row>
    <row r="27" spans="1:21" ht="14.5" x14ac:dyDescent="0.35">
      <c r="A27" t="s">
        <v>72</v>
      </c>
      <c r="B27" t="s">
        <v>40</v>
      </c>
      <c r="D27" t="s">
        <v>73</v>
      </c>
      <c r="E27" t="s">
        <v>122</v>
      </c>
      <c r="F27" s="4">
        <v>46285</v>
      </c>
      <c r="G27" t="s">
        <v>75</v>
      </c>
      <c r="H27" t="s">
        <v>21</v>
      </c>
      <c r="I27" t="s">
        <v>22</v>
      </c>
      <c r="N27" t="s">
        <v>123</v>
      </c>
      <c r="O27" s="15">
        <v>50000</v>
      </c>
      <c r="P27" s="38">
        <f>295+545+71+14882+1621+19819</f>
        <v>37233</v>
      </c>
      <c r="Q27" s="45">
        <f>P27/O27</f>
        <v>0.74465999999999999</v>
      </c>
      <c r="T27">
        <v>1986</v>
      </c>
    </row>
    <row r="28" spans="1:21" ht="14.5" x14ac:dyDescent="0.35">
      <c r="A28" t="s">
        <v>124</v>
      </c>
      <c r="B28" t="s">
        <v>40</v>
      </c>
      <c r="D28" t="s">
        <v>125</v>
      </c>
      <c r="E28" t="s">
        <v>126</v>
      </c>
      <c r="F28" s="4">
        <v>46138</v>
      </c>
      <c r="G28" t="s">
        <v>20</v>
      </c>
      <c r="H28" t="s">
        <v>21</v>
      </c>
      <c r="I28" t="s">
        <v>22</v>
      </c>
      <c r="J28">
        <v>10641</v>
      </c>
      <c r="K28">
        <v>19356</v>
      </c>
      <c r="L28">
        <v>7091</v>
      </c>
      <c r="O28" s="15">
        <v>47000</v>
      </c>
      <c r="P28" s="38">
        <f>SUM(J28:L28)</f>
        <v>37088</v>
      </c>
      <c r="Q28" s="45">
        <f>P28/O28</f>
        <v>0.78910638297872338</v>
      </c>
      <c r="U28" t="s">
        <v>127</v>
      </c>
    </row>
    <row r="29" spans="1:21" ht="14.5" x14ac:dyDescent="0.35">
      <c r="A29" t="s">
        <v>72</v>
      </c>
      <c r="B29" t="s">
        <v>40</v>
      </c>
      <c r="D29" t="s">
        <v>128</v>
      </c>
      <c r="E29" t="s">
        <v>129</v>
      </c>
      <c r="F29" s="4">
        <v>46124</v>
      </c>
      <c r="G29" t="s">
        <v>130</v>
      </c>
      <c r="H29" t="s">
        <v>48</v>
      </c>
      <c r="I29" t="s">
        <v>22</v>
      </c>
      <c r="J29">
        <v>17867</v>
      </c>
      <c r="L29">
        <v>16985</v>
      </c>
      <c r="N29" t="s">
        <v>2309</v>
      </c>
      <c r="O29" s="15">
        <v>50000</v>
      </c>
      <c r="P29" s="38">
        <f>17867+16985+1931</f>
        <v>36783</v>
      </c>
      <c r="Q29" s="45">
        <f>P29/O29</f>
        <v>0.73565999999999998</v>
      </c>
    </row>
    <row r="30" spans="1:21" ht="14.5" x14ac:dyDescent="0.35">
      <c r="A30" t="s">
        <v>131</v>
      </c>
      <c r="B30" t="s">
        <v>25</v>
      </c>
      <c r="D30" t="s">
        <v>132</v>
      </c>
      <c r="E30" t="s">
        <v>133</v>
      </c>
      <c r="F30" s="4">
        <v>46082</v>
      </c>
      <c r="G30" t="s">
        <v>134</v>
      </c>
      <c r="H30" t="s">
        <v>21</v>
      </c>
      <c r="I30" t="s">
        <v>22</v>
      </c>
      <c r="J30" t="s">
        <v>35</v>
      </c>
      <c r="N30" t="s">
        <v>2310</v>
      </c>
      <c r="O30" s="30">
        <v>37791</v>
      </c>
      <c r="P30" s="40">
        <v>36204</v>
      </c>
      <c r="Q30" s="45">
        <f>P30/O30</f>
        <v>0.9580058744145431</v>
      </c>
      <c r="R30" s="30"/>
      <c r="S30" s="30"/>
      <c r="U30" t="s">
        <v>135</v>
      </c>
    </row>
    <row r="31" spans="1:21" ht="14.5" x14ac:dyDescent="0.35">
      <c r="A31" t="s">
        <v>98</v>
      </c>
      <c r="B31" t="s">
        <v>40</v>
      </c>
      <c r="D31" t="s">
        <v>136</v>
      </c>
      <c r="E31" t="s">
        <v>137</v>
      </c>
      <c r="F31" s="4">
        <v>46138</v>
      </c>
      <c r="G31" t="s">
        <v>130</v>
      </c>
      <c r="H31" t="s">
        <v>21</v>
      </c>
      <c r="I31" t="s">
        <v>22</v>
      </c>
      <c r="N31" t="s">
        <v>138</v>
      </c>
      <c r="O31" s="15">
        <f>5440+37178</f>
        <v>42618</v>
      </c>
      <c r="P31" s="38">
        <f>30702+4368</f>
        <v>35070</v>
      </c>
      <c r="Q31" s="45">
        <f>P31/O31</f>
        <v>0.8228917358862452</v>
      </c>
      <c r="T31">
        <v>1986</v>
      </c>
    </row>
    <row r="32" spans="1:21" ht="14.5" x14ac:dyDescent="0.35">
      <c r="A32" t="s">
        <v>2289</v>
      </c>
      <c r="B32" t="s">
        <v>201</v>
      </c>
      <c r="D32" t="s">
        <v>2290</v>
      </c>
      <c r="E32" t="s">
        <v>2291</v>
      </c>
      <c r="F32" s="4">
        <v>46368</v>
      </c>
      <c r="I32" t="s">
        <v>22</v>
      </c>
      <c r="J32" t="s">
        <v>35</v>
      </c>
      <c r="L32" t="s">
        <v>35</v>
      </c>
      <c r="M32" t="s">
        <v>35</v>
      </c>
      <c r="N32" t="s">
        <v>2292</v>
      </c>
      <c r="P32" s="38">
        <v>35000</v>
      </c>
      <c r="Q32" s="45" t="e">
        <f>P32/O32</f>
        <v>#DIV/0!</v>
      </c>
    </row>
    <row r="33" spans="1:21" ht="14.5" x14ac:dyDescent="0.35">
      <c r="A33" t="s">
        <v>2192</v>
      </c>
      <c r="B33" t="s">
        <v>25</v>
      </c>
      <c r="D33" t="s">
        <v>2196</v>
      </c>
      <c r="E33" t="s">
        <v>2197</v>
      </c>
      <c r="F33" s="4">
        <v>46299</v>
      </c>
      <c r="G33" t="s">
        <v>2198</v>
      </c>
      <c r="I33" t="s">
        <v>22</v>
      </c>
      <c r="J33" t="s">
        <v>35</v>
      </c>
      <c r="K33" t="s">
        <v>35</v>
      </c>
      <c r="L33" t="s">
        <v>35</v>
      </c>
      <c r="M33" t="s">
        <v>35</v>
      </c>
      <c r="O33" s="15">
        <v>42000</v>
      </c>
      <c r="P33" s="38">
        <f>O33-O33*0.17</f>
        <v>34860</v>
      </c>
      <c r="Q33" s="45">
        <f>P33/O33</f>
        <v>0.83</v>
      </c>
    </row>
    <row r="34" spans="1:21" ht="14.5" x14ac:dyDescent="0.35">
      <c r="A34" t="s">
        <v>66</v>
      </c>
      <c r="B34" t="s">
        <v>40</v>
      </c>
      <c r="D34" t="s">
        <v>67</v>
      </c>
      <c r="E34" t="s">
        <v>139</v>
      </c>
      <c r="F34" s="4">
        <v>46235</v>
      </c>
      <c r="G34" t="s">
        <v>69</v>
      </c>
      <c r="H34" t="s">
        <v>21</v>
      </c>
      <c r="I34" t="s">
        <v>22</v>
      </c>
      <c r="K34" t="s">
        <v>35</v>
      </c>
      <c r="O34" s="15">
        <v>40271</v>
      </c>
      <c r="P34" s="38">
        <v>34742</v>
      </c>
      <c r="Q34" s="45">
        <f>P34/O34</f>
        <v>0.86270517245660649</v>
      </c>
    </row>
    <row r="35" spans="1:21" ht="14.5" x14ac:dyDescent="0.35">
      <c r="A35" s="34" t="s">
        <v>44</v>
      </c>
      <c r="B35" s="34" t="s">
        <v>40</v>
      </c>
      <c r="C35" s="34" t="s">
        <v>2318</v>
      </c>
      <c r="D35" s="34" t="s">
        <v>45</v>
      </c>
      <c r="E35" s="34" t="s">
        <v>140</v>
      </c>
      <c r="F35" s="35">
        <v>46180</v>
      </c>
      <c r="G35" s="34" t="s">
        <v>47</v>
      </c>
      <c r="H35" s="34" t="s">
        <v>1775</v>
      </c>
      <c r="I35" s="34" t="s">
        <v>22</v>
      </c>
      <c r="J35" s="36"/>
      <c r="K35" s="36"/>
      <c r="L35" s="36">
        <v>38558</v>
      </c>
      <c r="M35" s="36"/>
      <c r="N35" s="34"/>
      <c r="O35" s="36">
        <v>38558</v>
      </c>
      <c r="P35" s="38">
        <v>34453</v>
      </c>
      <c r="Q35" s="45">
        <f>P35/O35</f>
        <v>0.89353700918097412</v>
      </c>
      <c r="R35" s="38"/>
      <c r="S35" s="39"/>
      <c r="T35" s="34"/>
      <c r="U35" s="34"/>
    </row>
    <row r="36" spans="1:21" ht="14.5" x14ac:dyDescent="0.35">
      <c r="A36" t="s">
        <v>24</v>
      </c>
      <c r="B36" t="s">
        <v>25</v>
      </c>
      <c r="D36" t="s">
        <v>141</v>
      </c>
      <c r="E36" t="s">
        <v>142</v>
      </c>
      <c r="F36" s="4">
        <v>46138</v>
      </c>
      <c r="G36" t="s">
        <v>28</v>
      </c>
      <c r="H36" t="s">
        <v>21</v>
      </c>
      <c r="I36" t="s">
        <v>22</v>
      </c>
      <c r="L36">
        <v>21403</v>
      </c>
      <c r="N36" t="s">
        <v>104</v>
      </c>
      <c r="O36" s="30">
        <v>30000</v>
      </c>
      <c r="P36" s="40">
        <f>21403+10631+1683+699</f>
        <v>34416</v>
      </c>
      <c r="Q36" s="45">
        <f>P36/O36</f>
        <v>1.1472</v>
      </c>
      <c r="R36" s="30"/>
      <c r="S36" s="30"/>
    </row>
    <row r="37" spans="1:21" ht="14.5" x14ac:dyDescent="0.35">
      <c r="A37" t="s">
        <v>30</v>
      </c>
      <c r="B37" t="s">
        <v>31</v>
      </c>
      <c r="D37" t="s">
        <v>143</v>
      </c>
      <c r="E37" t="s">
        <v>144</v>
      </c>
      <c r="F37" s="4">
        <v>46116</v>
      </c>
      <c r="G37" t="s">
        <v>145</v>
      </c>
      <c r="H37" t="s">
        <v>21</v>
      </c>
      <c r="I37" t="s">
        <v>22</v>
      </c>
      <c r="L37" t="s">
        <v>35</v>
      </c>
      <c r="M37" t="s">
        <v>35</v>
      </c>
      <c r="N37">
        <v>15</v>
      </c>
      <c r="P37" s="38">
        <v>33547</v>
      </c>
      <c r="Q37" s="45" t="e">
        <f>P37/O37</f>
        <v>#DIV/0!</v>
      </c>
    </row>
    <row r="38" spans="1:21" ht="14.5" x14ac:dyDescent="0.35">
      <c r="A38" t="s">
        <v>30</v>
      </c>
      <c r="B38" t="s">
        <v>31</v>
      </c>
      <c r="D38" t="s">
        <v>143</v>
      </c>
      <c r="E38" t="s">
        <v>146</v>
      </c>
      <c r="F38" s="4">
        <v>46145</v>
      </c>
      <c r="G38" t="s">
        <v>3</v>
      </c>
      <c r="H38" t="s">
        <v>21</v>
      </c>
      <c r="I38" t="s">
        <v>22</v>
      </c>
      <c r="N38" t="s">
        <v>123</v>
      </c>
      <c r="O38" s="15">
        <v>40000</v>
      </c>
      <c r="P38" s="38">
        <v>33050</v>
      </c>
      <c r="Q38" s="45">
        <f>P38/O38</f>
        <v>0.82625000000000004</v>
      </c>
    </row>
    <row r="39" spans="1:21" ht="14.5" x14ac:dyDescent="0.35">
      <c r="A39" t="s">
        <v>16</v>
      </c>
      <c r="B39" t="s">
        <v>17</v>
      </c>
      <c r="D39" t="s">
        <v>18</v>
      </c>
      <c r="E39" t="s">
        <v>147</v>
      </c>
      <c r="F39" s="4">
        <v>46264</v>
      </c>
      <c r="G39" t="s">
        <v>148</v>
      </c>
      <c r="H39" t="s">
        <v>48</v>
      </c>
      <c r="I39" t="s">
        <v>22</v>
      </c>
      <c r="J39" t="s">
        <v>35</v>
      </c>
      <c r="O39" s="30">
        <v>35000</v>
      </c>
      <c r="P39" s="40">
        <v>32963</v>
      </c>
      <c r="Q39" s="45">
        <f>P39/O39</f>
        <v>0.94179999999999997</v>
      </c>
      <c r="R39" s="30"/>
      <c r="S39" s="30"/>
    </row>
    <row r="40" spans="1:21" ht="14.5" x14ac:dyDescent="0.35">
      <c r="A40" t="s">
        <v>16</v>
      </c>
      <c r="B40" t="s">
        <v>17</v>
      </c>
      <c r="D40" t="s">
        <v>149</v>
      </c>
      <c r="E40" t="s">
        <v>150</v>
      </c>
      <c r="F40" s="4">
        <v>46208</v>
      </c>
      <c r="G40" t="s">
        <v>151</v>
      </c>
      <c r="H40" t="s">
        <v>21</v>
      </c>
      <c r="I40" t="s">
        <v>22</v>
      </c>
      <c r="J40">
        <v>12707</v>
      </c>
      <c r="K40">
        <v>9657</v>
      </c>
      <c r="L40">
        <v>5563</v>
      </c>
      <c r="M40">
        <v>4213</v>
      </c>
      <c r="O40" s="30">
        <v>39000</v>
      </c>
      <c r="P40" s="40">
        <f>12707+9657+5563+4213</f>
        <v>32140</v>
      </c>
      <c r="Q40" s="45">
        <f>P40/O40</f>
        <v>0.82410256410256411</v>
      </c>
      <c r="R40" s="30"/>
      <c r="S40" s="30"/>
      <c r="T40">
        <v>1979</v>
      </c>
      <c r="U40" t="s">
        <v>152</v>
      </c>
    </row>
    <row r="41" spans="1:21" ht="14.5" x14ac:dyDescent="0.35">
      <c r="A41" t="s">
        <v>30</v>
      </c>
      <c r="B41" t="s">
        <v>31</v>
      </c>
      <c r="D41" t="s">
        <v>153</v>
      </c>
      <c r="E41" t="s">
        <v>154</v>
      </c>
      <c r="F41" s="4">
        <v>46369</v>
      </c>
      <c r="G41" t="s">
        <v>38</v>
      </c>
      <c r="H41" t="s">
        <v>21</v>
      </c>
      <c r="I41" t="s">
        <v>22</v>
      </c>
      <c r="J41">
        <v>22772</v>
      </c>
      <c r="L41">
        <v>9101</v>
      </c>
      <c r="O41" s="30">
        <v>36000</v>
      </c>
      <c r="P41" s="40">
        <f>SUM(J41:L41)</f>
        <v>31873</v>
      </c>
      <c r="Q41" s="45">
        <f>P41/O41</f>
        <v>0.88536111111111115</v>
      </c>
      <c r="R41" s="30"/>
      <c r="S41" s="30"/>
      <c r="U41" t="s">
        <v>155</v>
      </c>
    </row>
    <row r="42" spans="1:21" ht="14.5" x14ac:dyDescent="0.35">
      <c r="A42" t="s">
        <v>72</v>
      </c>
      <c r="B42" t="s">
        <v>40</v>
      </c>
      <c r="D42" t="s">
        <v>156</v>
      </c>
      <c r="E42" t="s">
        <v>157</v>
      </c>
      <c r="F42" s="4">
        <v>46307</v>
      </c>
      <c r="G42" t="s">
        <v>130</v>
      </c>
      <c r="H42" t="s">
        <v>48</v>
      </c>
      <c r="I42" t="s">
        <v>22</v>
      </c>
      <c r="J42">
        <f>4763</f>
        <v>4763</v>
      </c>
      <c r="K42">
        <v>14711</v>
      </c>
      <c r="M42">
        <v>3937</v>
      </c>
      <c r="N42" t="s">
        <v>158</v>
      </c>
      <c r="O42" s="15">
        <v>35000</v>
      </c>
      <c r="P42" s="38">
        <f>SUM(J42:M42)+242*4+986+5848+536</f>
        <v>31749</v>
      </c>
      <c r="Q42" s="45">
        <f>P42/O42</f>
        <v>0.90711428571428576</v>
      </c>
    </row>
    <row r="43" spans="1:21" ht="14.5" x14ac:dyDescent="0.35">
      <c r="A43" t="s">
        <v>159</v>
      </c>
      <c r="B43" t="s">
        <v>40</v>
      </c>
      <c r="D43" t="s">
        <v>160</v>
      </c>
      <c r="E43" t="s">
        <v>161</v>
      </c>
      <c r="F43" s="5">
        <v>2027</v>
      </c>
      <c r="G43" t="s">
        <v>38</v>
      </c>
      <c r="H43" t="s">
        <v>21</v>
      </c>
      <c r="I43" t="s">
        <v>22</v>
      </c>
      <c r="K43" t="s">
        <v>35</v>
      </c>
      <c r="O43" s="15">
        <v>33500</v>
      </c>
      <c r="P43" s="38">
        <v>31440</v>
      </c>
      <c r="Q43" s="45">
        <f>P43/O43</f>
        <v>0.93850746268656715</v>
      </c>
      <c r="U43" t="s">
        <v>162</v>
      </c>
    </row>
    <row r="44" spans="1:21" ht="14.5" x14ac:dyDescent="0.35">
      <c r="A44" s="34" t="s">
        <v>44</v>
      </c>
      <c r="B44" s="34" t="s">
        <v>40</v>
      </c>
      <c r="C44" s="34" t="s">
        <v>163</v>
      </c>
      <c r="D44" s="34" t="s">
        <v>163</v>
      </c>
      <c r="E44" s="34" t="s">
        <v>164</v>
      </c>
      <c r="F44" s="35">
        <v>46328</v>
      </c>
      <c r="G44" s="34" t="s">
        <v>165</v>
      </c>
      <c r="H44" s="34" t="s">
        <v>1775</v>
      </c>
      <c r="I44" s="34" t="s">
        <v>22</v>
      </c>
      <c r="J44" s="36">
        <v>9000</v>
      </c>
      <c r="K44" s="36">
        <v>17000</v>
      </c>
      <c r="L44" s="36">
        <v>10000</v>
      </c>
      <c r="M44" s="36"/>
      <c r="N44" s="34" t="s">
        <v>166</v>
      </c>
      <c r="O44" s="36">
        <v>37000</v>
      </c>
      <c r="P44" s="36">
        <f>5034+659*4+15673+7995+8+6+6</f>
        <v>31358</v>
      </c>
      <c r="Q44" s="45">
        <f>P44/O44</f>
        <v>0.84751351351351356</v>
      </c>
      <c r="R44" s="38"/>
      <c r="S44" s="39"/>
      <c r="T44" s="34"/>
      <c r="U44" s="34"/>
    </row>
    <row r="45" spans="1:21" ht="14.5" x14ac:dyDescent="0.35">
      <c r="A45" t="s">
        <v>131</v>
      </c>
      <c r="B45" t="s">
        <v>25</v>
      </c>
      <c r="D45" t="s">
        <v>167</v>
      </c>
      <c r="E45" t="s">
        <v>168</v>
      </c>
      <c r="F45" s="4">
        <v>46075</v>
      </c>
      <c r="G45" t="s">
        <v>169</v>
      </c>
      <c r="H45" t="s">
        <v>21</v>
      </c>
      <c r="I45" t="s">
        <v>22</v>
      </c>
      <c r="J45" t="s">
        <v>35</v>
      </c>
      <c r="O45" s="30">
        <v>34000</v>
      </c>
      <c r="P45" s="40">
        <f>31231</f>
        <v>31231</v>
      </c>
      <c r="Q45" s="45">
        <f>P45/O45</f>
        <v>0.91855882352941176</v>
      </c>
      <c r="R45" s="30"/>
      <c r="S45" s="30"/>
    </row>
    <row r="46" spans="1:21" ht="14.5" x14ac:dyDescent="0.35">
      <c r="A46" t="s">
        <v>30</v>
      </c>
      <c r="B46" t="s">
        <v>31</v>
      </c>
      <c r="D46" t="s">
        <v>170</v>
      </c>
      <c r="E46" t="s">
        <v>171</v>
      </c>
      <c r="F46" s="4">
        <v>46109</v>
      </c>
      <c r="G46" t="s">
        <v>171</v>
      </c>
      <c r="H46" t="s">
        <v>21</v>
      </c>
      <c r="I46" t="s">
        <v>22</v>
      </c>
      <c r="L46" t="s">
        <v>35</v>
      </c>
      <c r="O46" s="30">
        <v>36000</v>
      </c>
      <c r="P46" s="40">
        <v>31203</v>
      </c>
      <c r="Q46" s="45">
        <f>P46/O46</f>
        <v>0.86675000000000002</v>
      </c>
      <c r="R46" s="30"/>
      <c r="S46" s="30"/>
    </row>
    <row r="47" spans="1:21" ht="14.5" x14ac:dyDescent="0.35">
      <c r="A47" t="s">
        <v>124</v>
      </c>
      <c r="B47" t="s">
        <v>40</v>
      </c>
      <c r="D47" t="s">
        <v>172</v>
      </c>
      <c r="E47" t="s">
        <v>173</v>
      </c>
      <c r="F47" s="4">
        <v>46362</v>
      </c>
      <c r="G47" t="s">
        <v>38</v>
      </c>
      <c r="H47" t="s">
        <v>21</v>
      </c>
      <c r="I47" t="s">
        <v>22</v>
      </c>
      <c r="J47" t="s">
        <v>35</v>
      </c>
      <c r="O47" s="15">
        <v>35000</v>
      </c>
      <c r="P47" s="38">
        <v>30772</v>
      </c>
      <c r="Q47" s="45">
        <f>P47/O47</f>
        <v>0.87919999999999998</v>
      </c>
      <c r="U47" t="s">
        <v>174</v>
      </c>
    </row>
    <row r="48" spans="1:21" ht="14.5" x14ac:dyDescent="0.35">
      <c r="A48" t="s">
        <v>30</v>
      </c>
      <c r="B48" t="s">
        <v>31</v>
      </c>
      <c r="D48" t="s">
        <v>175</v>
      </c>
      <c r="E48" t="s">
        <v>176</v>
      </c>
      <c r="F48" s="4">
        <v>46320</v>
      </c>
      <c r="G48" t="s">
        <v>177</v>
      </c>
      <c r="H48" t="s">
        <v>21</v>
      </c>
      <c r="I48" t="s">
        <v>22</v>
      </c>
      <c r="J48">
        <v>30085</v>
      </c>
      <c r="O48" s="30">
        <v>40000</v>
      </c>
      <c r="P48" s="40">
        <f>30085</f>
        <v>30085</v>
      </c>
      <c r="Q48" s="45">
        <f>P48/O48</f>
        <v>0.75212500000000004</v>
      </c>
      <c r="R48" s="30"/>
      <c r="S48" s="30"/>
    </row>
    <row r="49" spans="1:21" ht="14.5" x14ac:dyDescent="0.35">
      <c r="A49" t="s">
        <v>30</v>
      </c>
      <c r="B49" t="s">
        <v>31</v>
      </c>
      <c r="D49" t="s">
        <v>178</v>
      </c>
      <c r="E49" t="s">
        <v>179</v>
      </c>
      <c r="F49" s="2">
        <v>46145</v>
      </c>
      <c r="G49" t="s">
        <v>38</v>
      </c>
      <c r="H49" t="s">
        <v>21</v>
      </c>
      <c r="I49" t="s">
        <v>22</v>
      </c>
      <c r="N49">
        <v>12</v>
      </c>
      <c r="O49" s="15">
        <v>32926</v>
      </c>
      <c r="P49" s="38">
        <v>30040</v>
      </c>
      <c r="Q49" s="45">
        <f>P49/O49</f>
        <v>0.91234890360201659</v>
      </c>
      <c r="U49" t="s">
        <v>180</v>
      </c>
    </row>
    <row r="50" spans="1:21" ht="14.5" x14ac:dyDescent="0.35">
      <c r="A50" t="s">
        <v>181</v>
      </c>
      <c r="B50" t="s">
        <v>40</v>
      </c>
      <c r="D50" t="s">
        <v>182</v>
      </c>
      <c r="E50" t="s">
        <v>183</v>
      </c>
      <c r="F50" s="4">
        <v>46103</v>
      </c>
      <c r="G50" t="s">
        <v>184</v>
      </c>
      <c r="H50" t="s">
        <v>48</v>
      </c>
      <c r="I50" t="s">
        <v>22</v>
      </c>
      <c r="J50">
        <v>9054</v>
      </c>
      <c r="M50" t="s">
        <v>35</v>
      </c>
      <c r="N50" t="s">
        <v>185</v>
      </c>
      <c r="O50" s="15">
        <v>36000</v>
      </c>
      <c r="P50" s="38">
        <f>O50-O50*0.17</f>
        <v>29880</v>
      </c>
      <c r="Q50" s="45">
        <f>P50/O50</f>
        <v>0.83</v>
      </c>
    </row>
    <row r="51" spans="1:21" ht="14.5" x14ac:dyDescent="0.35">
      <c r="A51" t="s">
        <v>110</v>
      </c>
      <c r="B51" t="s">
        <v>31</v>
      </c>
      <c r="D51" t="s">
        <v>186</v>
      </c>
      <c r="E51" t="s">
        <v>187</v>
      </c>
      <c r="F51" s="4">
        <v>46166</v>
      </c>
      <c r="G51" t="s">
        <v>188</v>
      </c>
      <c r="H51" t="s">
        <v>21</v>
      </c>
      <c r="I51" t="s">
        <v>22</v>
      </c>
      <c r="J51">
        <v>3267</v>
      </c>
      <c r="K51">
        <v>9478</v>
      </c>
      <c r="L51">
        <v>6252</v>
      </c>
      <c r="M51">
        <v>7414</v>
      </c>
      <c r="N51">
        <v>2</v>
      </c>
      <c r="O51" s="30">
        <v>36000</v>
      </c>
      <c r="P51" s="38">
        <f>SUM(J51:M51)+3230</f>
        <v>29641</v>
      </c>
      <c r="Q51" s="45">
        <f>P51/O51</f>
        <v>0.8233611111111111</v>
      </c>
    </row>
    <row r="52" spans="1:21" ht="14.5" x14ac:dyDescent="0.35">
      <c r="A52" t="s">
        <v>124</v>
      </c>
      <c r="B52" t="s">
        <v>40</v>
      </c>
      <c r="D52" t="s">
        <v>189</v>
      </c>
      <c r="E52" t="s">
        <v>2313</v>
      </c>
      <c r="F52" s="4">
        <v>46152</v>
      </c>
      <c r="G52" t="s">
        <v>190</v>
      </c>
      <c r="H52" t="s">
        <v>21</v>
      </c>
      <c r="I52" t="s">
        <v>22</v>
      </c>
      <c r="O52" s="15">
        <v>35000</v>
      </c>
      <c r="P52" s="38">
        <v>29534</v>
      </c>
      <c r="Q52" s="45">
        <f>P52/O52</f>
        <v>0.84382857142857148</v>
      </c>
      <c r="U52" t="s">
        <v>191</v>
      </c>
    </row>
    <row r="53" spans="1:21" ht="14.5" x14ac:dyDescent="0.35">
      <c r="A53" t="s">
        <v>181</v>
      </c>
      <c r="B53" t="s">
        <v>40</v>
      </c>
      <c r="D53" t="s">
        <v>192</v>
      </c>
      <c r="E53" t="s">
        <v>193</v>
      </c>
      <c r="F53" s="4">
        <v>46124</v>
      </c>
      <c r="G53" t="s">
        <v>194</v>
      </c>
      <c r="H53" t="s">
        <v>48</v>
      </c>
      <c r="I53" t="s">
        <v>22</v>
      </c>
      <c r="J53">
        <v>8331</v>
      </c>
      <c r="L53" t="s">
        <v>35</v>
      </c>
      <c r="N53" t="s">
        <v>195</v>
      </c>
      <c r="O53" s="15">
        <v>35000</v>
      </c>
      <c r="P53" s="38">
        <f>O53-O53*0.17</f>
        <v>29050</v>
      </c>
      <c r="Q53" s="45">
        <f>P53/O53</f>
        <v>0.83</v>
      </c>
    </row>
    <row r="54" spans="1:21" ht="14.5" x14ac:dyDescent="0.35">
      <c r="A54" t="s">
        <v>196</v>
      </c>
      <c r="B54" t="s">
        <v>25</v>
      </c>
      <c r="D54" t="s">
        <v>197</v>
      </c>
      <c r="E54" t="s">
        <v>198</v>
      </c>
      <c r="F54" s="4">
        <v>46033</v>
      </c>
      <c r="G54" t="s">
        <v>199</v>
      </c>
      <c r="H54" t="s">
        <v>48</v>
      </c>
      <c r="I54" t="s">
        <v>22</v>
      </c>
      <c r="J54" t="s">
        <v>35</v>
      </c>
      <c r="O54" s="30">
        <v>35000</v>
      </c>
      <c r="P54" s="38">
        <f>O54-O54*0.17</f>
        <v>29050</v>
      </c>
      <c r="Q54" s="45">
        <f>P54/O54</f>
        <v>0.83</v>
      </c>
    </row>
    <row r="55" spans="1:21" ht="14.5" x14ac:dyDescent="0.35">
      <c r="A55" t="s">
        <v>196</v>
      </c>
      <c r="B55" t="s">
        <v>25</v>
      </c>
      <c r="D55" t="s">
        <v>2028</v>
      </c>
      <c r="E55" t="s">
        <v>2031</v>
      </c>
      <c r="F55" s="4">
        <v>46103</v>
      </c>
      <c r="I55" t="s">
        <v>22</v>
      </c>
      <c r="J55">
        <v>15000</v>
      </c>
      <c r="K55">
        <v>20000</v>
      </c>
      <c r="O55" s="15">
        <f>SUM(J55:K55)</f>
        <v>35000</v>
      </c>
      <c r="P55" s="38">
        <f>O55-O55*0.17</f>
        <v>29050</v>
      </c>
      <c r="Q55" s="45">
        <f>P55/O55</f>
        <v>0.83</v>
      </c>
    </row>
    <row r="56" spans="1:21" ht="14.5" x14ac:dyDescent="0.35">
      <c r="A56" s="34" t="s">
        <v>44</v>
      </c>
      <c r="B56" s="34" t="s">
        <v>40</v>
      </c>
      <c r="C56" s="34" t="s">
        <v>2318</v>
      </c>
      <c r="D56" s="34" t="s">
        <v>45</v>
      </c>
      <c r="E56" s="34" t="s">
        <v>1768</v>
      </c>
      <c r="F56" s="35">
        <v>46306</v>
      </c>
      <c r="G56" s="34" t="s">
        <v>38</v>
      </c>
      <c r="H56" s="34" t="s">
        <v>1775</v>
      </c>
      <c r="I56" s="34" t="s">
        <v>22</v>
      </c>
      <c r="J56" s="36"/>
      <c r="K56" s="36"/>
      <c r="L56" s="36"/>
      <c r="M56" s="36"/>
      <c r="N56" s="36" t="s">
        <v>1769</v>
      </c>
      <c r="O56" s="36">
        <v>33000</v>
      </c>
      <c r="P56" s="36">
        <v>28985</v>
      </c>
      <c r="Q56" s="45">
        <f>P56/O56</f>
        <v>0.8783333333333333</v>
      </c>
      <c r="R56" s="36"/>
      <c r="S56" s="37"/>
      <c r="T56" s="34"/>
      <c r="U56" s="34"/>
    </row>
    <row r="57" spans="1:21" ht="14.5" x14ac:dyDescent="0.35">
      <c r="A57" t="s">
        <v>205</v>
      </c>
      <c r="B57" t="s">
        <v>81</v>
      </c>
      <c r="D57" t="s">
        <v>206</v>
      </c>
      <c r="E57" t="s">
        <v>207</v>
      </c>
      <c r="F57" s="4">
        <v>46123</v>
      </c>
      <c r="G57" t="s">
        <v>207</v>
      </c>
      <c r="H57" t="s">
        <v>21</v>
      </c>
      <c r="I57" t="s">
        <v>208</v>
      </c>
      <c r="K57" t="s">
        <v>35</v>
      </c>
      <c r="N57" t="s">
        <v>209</v>
      </c>
      <c r="O57" s="30">
        <v>16000</v>
      </c>
      <c r="P57" s="40">
        <f>10771+17678+147+262</f>
        <v>28858</v>
      </c>
      <c r="Q57" s="45">
        <f>P57/O57</f>
        <v>1.803625</v>
      </c>
      <c r="R57" s="30"/>
      <c r="S57" s="30"/>
    </row>
    <row r="58" spans="1:21" ht="14.5" x14ac:dyDescent="0.35">
      <c r="A58" t="s">
        <v>30</v>
      </c>
      <c r="B58" t="s">
        <v>31</v>
      </c>
      <c r="D58" t="s">
        <v>32</v>
      </c>
      <c r="E58" t="s">
        <v>210</v>
      </c>
      <c r="F58" s="4">
        <v>46096</v>
      </c>
      <c r="G58" t="s">
        <v>34</v>
      </c>
      <c r="H58" t="s">
        <v>21</v>
      </c>
      <c r="I58" t="s">
        <v>22</v>
      </c>
      <c r="K58" t="s">
        <v>35</v>
      </c>
      <c r="O58" s="30"/>
      <c r="P58" s="40">
        <f>28677</f>
        <v>28677</v>
      </c>
      <c r="Q58" s="45" t="e">
        <f>P58/O58</f>
        <v>#DIV/0!</v>
      </c>
      <c r="R58" s="30"/>
      <c r="S58" s="30"/>
    </row>
    <row r="59" spans="1:21" ht="14.5" x14ac:dyDescent="0.35">
      <c r="A59" t="s">
        <v>30</v>
      </c>
      <c r="B59" t="s">
        <v>31</v>
      </c>
      <c r="D59" t="s">
        <v>211</v>
      </c>
      <c r="E59" t="s">
        <v>212</v>
      </c>
      <c r="F59" s="4">
        <v>46089</v>
      </c>
      <c r="G59" t="s">
        <v>213</v>
      </c>
      <c r="I59" t="s">
        <v>22</v>
      </c>
      <c r="J59">
        <f>21443</f>
        <v>21443</v>
      </c>
      <c r="K59" t="s">
        <v>35</v>
      </c>
      <c r="M59">
        <v>6220</v>
      </c>
      <c r="O59" s="30">
        <v>26000</v>
      </c>
      <c r="P59" s="40">
        <f>J59+898+M59</f>
        <v>28561</v>
      </c>
      <c r="Q59" s="45">
        <f>P59/O59</f>
        <v>1.0985</v>
      </c>
      <c r="R59" s="30"/>
      <c r="S59" s="30"/>
    </row>
    <row r="60" spans="1:21" ht="14.5" x14ac:dyDescent="0.35">
      <c r="A60" t="s">
        <v>110</v>
      </c>
      <c r="B60" t="s">
        <v>31</v>
      </c>
      <c r="D60" t="s">
        <v>2130</v>
      </c>
      <c r="E60" t="s">
        <v>2135</v>
      </c>
      <c r="F60" s="4">
        <v>46313</v>
      </c>
      <c r="G60" t="s">
        <v>2132</v>
      </c>
      <c r="I60" t="s">
        <v>22</v>
      </c>
      <c r="J60">
        <v>8500</v>
      </c>
      <c r="K60">
        <v>12600</v>
      </c>
      <c r="M60">
        <v>7400</v>
      </c>
      <c r="P60" s="38">
        <f>SUM(J60:M60)</f>
        <v>28500</v>
      </c>
      <c r="Q60" s="45" t="e">
        <f>P60/O60</f>
        <v>#DIV/0!</v>
      </c>
    </row>
    <row r="61" spans="1:21" ht="14.5" x14ac:dyDescent="0.35">
      <c r="A61" t="s">
        <v>30</v>
      </c>
      <c r="B61" t="s">
        <v>31</v>
      </c>
      <c r="D61" t="s">
        <v>214</v>
      </c>
      <c r="E61" t="s">
        <v>215</v>
      </c>
      <c r="F61" s="4">
        <v>46132</v>
      </c>
      <c r="G61" t="s">
        <v>38</v>
      </c>
      <c r="H61" t="s">
        <v>21</v>
      </c>
      <c r="I61" t="s">
        <v>22</v>
      </c>
      <c r="J61" t="s">
        <v>35</v>
      </c>
      <c r="O61" s="30">
        <v>31670</v>
      </c>
      <c r="P61" s="40">
        <v>28409</v>
      </c>
      <c r="Q61" s="45">
        <f>P61/O61</f>
        <v>0.89703189137985473</v>
      </c>
      <c r="R61" s="30"/>
      <c r="S61" s="30"/>
      <c r="U61" t="s">
        <v>216</v>
      </c>
    </row>
    <row r="62" spans="1:21" ht="14.5" x14ac:dyDescent="0.35">
      <c r="A62" t="s">
        <v>72</v>
      </c>
      <c r="B62" t="s">
        <v>40</v>
      </c>
      <c r="D62" t="s">
        <v>217</v>
      </c>
      <c r="E62" t="s">
        <v>218</v>
      </c>
      <c r="F62" s="4">
        <v>46096</v>
      </c>
      <c r="G62" t="s">
        <v>130</v>
      </c>
      <c r="H62" t="s">
        <v>48</v>
      </c>
      <c r="I62" t="s">
        <v>22</v>
      </c>
      <c r="K62">
        <f>13569+1067</f>
        <v>14636</v>
      </c>
      <c r="L62">
        <f>7501+1233</f>
        <v>8734</v>
      </c>
      <c r="M62">
        <f>3767+498+741</f>
        <v>5006</v>
      </c>
      <c r="O62" s="15">
        <v>35000</v>
      </c>
      <c r="P62" s="38">
        <f>SUM(K62:M62)</f>
        <v>28376</v>
      </c>
      <c r="Q62" s="45">
        <f>P62/O62</f>
        <v>0.8107428571428571</v>
      </c>
      <c r="T62">
        <v>27</v>
      </c>
    </row>
    <row r="63" spans="1:21" ht="14.5" x14ac:dyDescent="0.35">
      <c r="A63" t="s">
        <v>124</v>
      </c>
      <c r="B63" t="s">
        <v>40</v>
      </c>
      <c r="D63" t="s">
        <v>219</v>
      </c>
      <c r="E63" t="s">
        <v>2314</v>
      </c>
      <c r="F63" s="4">
        <v>46348</v>
      </c>
      <c r="G63" t="s">
        <v>190</v>
      </c>
      <c r="H63" t="s">
        <v>21</v>
      </c>
      <c r="I63" t="s">
        <v>22</v>
      </c>
      <c r="N63" t="s">
        <v>2311</v>
      </c>
      <c r="O63" s="15">
        <v>36000</v>
      </c>
      <c r="P63" s="38">
        <v>27969</v>
      </c>
      <c r="Q63" s="45">
        <f>P63/O63</f>
        <v>0.7769166666666667</v>
      </c>
    </row>
    <row r="64" spans="1:21" ht="14.5" x14ac:dyDescent="0.35">
      <c r="A64" t="s">
        <v>30</v>
      </c>
      <c r="B64" t="s">
        <v>31</v>
      </c>
      <c r="D64" t="s">
        <v>220</v>
      </c>
      <c r="E64" t="s">
        <v>221</v>
      </c>
      <c r="F64" s="4">
        <v>46145</v>
      </c>
      <c r="G64" t="s">
        <v>38</v>
      </c>
      <c r="H64" t="s">
        <v>21</v>
      </c>
      <c r="I64" t="s">
        <v>22</v>
      </c>
      <c r="J64">
        <v>4711</v>
      </c>
      <c r="K64">
        <v>11762</v>
      </c>
      <c r="L64">
        <v>4519</v>
      </c>
      <c r="M64">
        <v>6872</v>
      </c>
      <c r="O64" s="15">
        <v>42809</v>
      </c>
      <c r="P64" s="38">
        <f>SUM(J64:M64)</f>
        <v>27864</v>
      </c>
      <c r="Q64" s="45">
        <f>P64/O64</f>
        <v>0.65089116774510036</v>
      </c>
      <c r="U64" t="s">
        <v>222</v>
      </c>
    </row>
    <row r="65" spans="1:21" ht="14.5" x14ac:dyDescent="0.35">
      <c r="A65" t="s">
        <v>196</v>
      </c>
      <c r="B65" t="s">
        <v>25</v>
      </c>
      <c r="D65" t="s">
        <v>2034</v>
      </c>
      <c r="E65" t="s">
        <v>2035</v>
      </c>
      <c r="F65" s="4">
        <v>46103</v>
      </c>
      <c r="G65" t="s">
        <v>3</v>
      </c>
      <c r="H65" t="s">
        <v>1775</v>
      </c>
      <c r="I65" t="s">
        <v>22</v>
      </c>
      <c r="J65">
        <v>25000</v>
      </c>
      <c r="K65">
        <v>8000</v>
      </c>
      <c r="O65" s="15">
        <f>SUM(J65:K65)</f>
        <v>33000</v>
      </c>
      <c r="P65" s="38">
        <f>O65-O65*0.17</f>
        <v>27390</v>
      </c>
      <c r="Q65" s="45">
        <f>P65/O65</f>
        <v>0.83</v>
      </c>
    </row>
    <row r="66" spans="1:21" ht="14.5" x14ac:dyDescent="0.35">
      <c r="A66" t="s">
        <v>30</v>
      </c>
      <c r="B66" t="s">
        <v>31</v>
      </c>
      <c r="D66" t="s">
        <v>223</v>
      </c>
      <c r="E66" t="s">
        <v>224</v>
      </c>
      <c r="F66" s="4">
        <v>46032</v>
      </c>
      <c r="G66" t="s">
        <v>38</v>
      </c>
      <c r="H66" t="s">
        <v>21</v>
      </c>
      <c r="I66" t="s">
        <v>22</v>
      </c>
      <c r="J66">
        <v>7568</v>
      </c>
      <c r="K66">
        <v>13923</v>
      </c>
      <c r="M66">
        <v>5718</v>
      </c>
      <c r="O66" s="15">
        <v>34000</v>
      </c>
      <c r="P66" s="38">
        <f>SUM(J66:M66)</f>
        <v>27209</v>
      </c>
      <c r="Q66" s="45">
        <f>P66/O66</f>
        <v>0.80026470588235299</v>
      </c>
      <c r="U66" t="s">
        <v>225</v>
      </c>
    </row>
    <row r="67" spans="1:21" ht="14.5" x14ac:dyDescent="0.35">
      <c r="A67" t="s">
        <v>30</v>
      </c>
      <c r="B67" t="s">
        <v>31</v>
      </c>
      <c r="D67" t="s">
        <v>32</v>
      </c>
      <c r="E67" t="s">
        <v>228</v>
      </c>
      <c r="F67" s="4">
        <v>46138</v>
      </c>
      <c r="G67" t="s">
        <v>34</v>
      </c>
      <c r="H67" t="s">
        <v>21</v>
      </c>
      <c r="I67" t="s">
        <v>22</v>
      </c>
      <c r="K67" t="s">
        <v>35</v>
      </c>
      <c r="O67" s="30">
        <v>28500</v>
      </c>
      <c r="P67" s="40">
        <v>26961</v>
      </c>
      <c r="Q67" s="45">
        <f>P67/O67</f>
        <v>0.94599999999999995</v>
      </c>
      <c r="R67" s="30"/>
      <c r="S67" s="30"/>
      <c r="T67">
        <v>2011</v>
      </c>
    </row>
    <row r="68" spans="1:21" ht="14.5" x14ac:dyDescent="0.35">
      <c r="A68" t="s">
        <v>124</v>
      </c>
      <c r="B68" t="s">
        <v>40</v>
      </c>
      <c r="D68" t="s">
        <v>219</v>
      </c>
      <c r="E68" t="s">
        <v>226</v>
      </c>
      <c r="F68" s="4">
        <v>46068</v>
      </c>
      <c r="G68" t="s">
        <v>227</v>
      </c>
      <c r="H68" t="s">
        <v>48</v>
      </c>
      <c r="I68" t="s">
        <v>22</v>
      </c>
      <c r="O68" s="15">
        <v>36000</v>
      </c>
      <c r="P68" s="38">
        <v>26961</v>
      </c>
      <c r="Q68" s="45">
        <f>P68/O68</f>
        <v>0.74891666666666667</v>
      </c>
    </row>
    <row r="69" spans="1:21" ht="14.5" x14ac:dyDescent="0.35">
      <c r="A69" t="s">
        <v>24</v>
      </c>
      <c r="B69" t="s">
        <v>25</v>
      </c>
      <c r="D69" t="s">
        <v>26</v>
      </c>
      <c r="E69" t="s">
        <v>27</v>
      </c>
      <c r="F69" s="4">
        <v>46039</v>
      </c>
      <c r="G69" t="s">
        <v>28</v>
      </c>
      <c r="H69" t="s">
        <v>21</v>
      </c>
      <c r="I69" t="s">
        <v>22</v>
      </c>
      <c r="J69">
        <v>9510</v>
      </c>
      <c r="K69">
        <v>11369</v>
      </c>
      <c r="L69">
        <v>5729</v>
      </c>
      <c r="N69" t="s">
        <v>29</v>
      </c>
      <c r="O69" s="30">
        <v>65000</v>
      </c>
      <c r="P69" s="40">
        <f>SUM(J69:L69)</f>
        <v>26608</v>
      </c>
      <c r="Q69" s="45">
        <f>P69/O69</f>
        <v>0.40935384615384618</v>
      </c>
      <c r="R69" s="30"/>
      <c r="S69" s="30"/>
      <c r="T69">
        <v>1988</v>
      </c>
    </row>
    <row r="70" spans="1:21" ht="14.5" x14ac:dyDescent="0.35">
      <c r="A70" t="s">
        <v>196</v>
      </c>
      <c r="B70" t="s">
        <v>25</v>
      </c>
      <c r="D70" t="s">
        <v>2024</v>
      </c>
      <c r="E70" t="s">
        <v>2027</v>
      </c>
      <c r="F70" s="4">
        <v>46313</v>
      </c>
      <c r="G70" t="s">
        <v>3</v>
      </c>
      <c r="H70" t="s">
        <v>1775</v>
      </c>
      <c r="I70" t="s">
        <v>22</v>
      </c>
      <c r="J70" t="s">
        <v>35</v>
      </c>
      <c r="O70" s="15">
        <v>32000</v>
      </c>
      <c r="P70" s="38">
        <f>O70-O70*0.17</f>
        <v>26560</v>
      </c>
      <c r="Q70" s="45">
        <f>P70/O70</f>
        <v>0.83</v>
      </c>
    </row>
    <row r="71" spans="1:21" ht="14.5" x14ac:dyDescent="0.35">
      <c r="A71" t="s">
        <v>30</v>
      </c>
      <c r="B71" t="s">
        <v>31</v>
      </c>
      <c r="D71" t="s">
        <v>229</v>
      </c>
      <c r="E71" t="s">
        <v>230</v>
      </c>
      <c r="F71" s="4">
        <v>46033</v>
      </c>
      <c r="G71" t="s">
        <v>231</v>
      </c>
      <c r="H71" t="s">
        <v>21</v>
      </c>
      <c r="I71" t="s">
        <v>232</v>
      </c>
      <c r="J71" t="s">
        <v>35</v>
      </c>
      <c r="K71" t="s">
        <v>35</v>
      </c>
      <c r="L71" t="s">
        <v>35</v>
      </c>
      <c r="M71" t="s">
        <v>35</v>
      </c>
      <c r="O71" s="30">
        <v>7000</v>
      </c>
      <c r="P71" s="40">
        <f>12532+13416+106+113</f>
        <v>26167</v>
      </c>
      <c r="Q71" s="45">
        <f>P71/O71</f>
        <v>3.738142857142857</v>
      </c>
      <c r="R71" s="30"/>
      <c r="S71" s="30"/>
      <c r="T71">
        <v>1994</v>
      </c>
    </row>
    <row r="72" spans="1:21" ht="14.5" x14ac:dyDescent="0.35">
      <c r="A72" t="s">
        <v>124</v>
      </c>
      <c r="B72" t="s">
        <v>40</v>
      </c>
      <c r="D72" t="s">
        <v>172</v>
      </c>
      <c r="E72" t="s">
        <v>233</v>
      </c>
      <c r="F72" s="4">
        <v>46320</v>
      </c>
      <c r="G72" t="s">
        <v>38</v>
      </c>
      <c r="H72" t="s">
        <v>21</v>
      </c>
      <c r="I72" t="s">
        <v>22</v>
      </c>
      <c r="K72" t="s">
        <v>35</v>
      </c>
      <c r="O72" s="15">
        <v>30000</v>
      </c>
      <c r="P72" s="38">
        <v>26060</v>
      </c>
      <c r="Q72" s="45">
        <f>P72/O72</f>
        <v>0.8686666666666667</v>
      </c>
      <c r="U72" t="s">
        <v>174</v>
      </c>
    </row>
    <row r="73" spans="1:21" ht="14.5" x14ac:dyDescent="0.35">
      <c r="A73" t="s">
        <v>110</v>
      </c>
      <c r="B73" t="s">
        <v>31</v>
      </c>
      <c r="D73" t="s">
        <v>234</v>
      </c>
      <c r="E73" t="s">
        <v>235</v>
      </c>
      <c r="F73" s="4">
        <v>46306</v>
      </c>
      <c r="G73" t="s">
        <v>236</v>
      </c>
      <c r="I73" t="s">
        <v>22</v>
      </c>
      <c r="J73">
        <v>4413</v>
      </c>
      <c r="K73">
        <v>11758</v>
      </c>
      <c r="L73">
        <v>5311</v>
      </c>
      <c r="M73">
        <v>4482</v>
      </c>
      <c r="O73" s="15">
        <v>27000</v>
      </c>
      <c r="P73" s="38">
        <f>SUM(J73:M73)</f>
        <v>25964</v>
      </c>
      <c r="Q73" s="45">
        <f>P73/O73</f>
        <v>0.96162962962962961</v>
      </c>
    </row>
    <row r="74" spans="1:21" ht="14.5" x14ac:dyDescent="0.35">
      <c r="A74" t="s">
        <v>237</v>
      </c>
      <c r="B74" t="s">
        <v>50</v>
      </c>
      <c r="D74" t="s">
        <v>238</v>
      </c>
      <c r="E74" t="s">
        <v>239</v>
      </c>
      <c r="F74" s="4">
        <v>46138</v>
      </c>
      <c r="G74" t="s">
        <v>240</v>
      </c>
      <c r="H74" t="s">
        <v>21</v>
      </c>
      <c r="I74" t="s">
        <v>22</v>
      </c>
      <c r="J74">
        <v>4902</v>
      </c>
      <c r="K74">
        <v>11524</v>
      </c>
      <c r="L74">
        <v>9323</v>
      </c>
      <c r="O74" s="30">
        <v>34000</v>
      </c>
      <c r="P74" s="40">
        <f>SUM(J74:L74)+11+14+34</f>
        <v>25808</v>
      </c>
      <c r="Q74" s="45">
        <f>P74/O74</f>
        <v>0.75905882352941179</v>
      </c>
      <c r="R74" s="30"/>
      <c r="S74" s="30"/>
    </row>
    <row r="75" spans="1:21" ht="14.5" x14ac:dyDescent="0.35">
      <c r="A75" t="s">
        <v>241</v>
      </c>
      <c r="B75" t="s">
        <v>25</v>
      </c>
      <c r="D75" t="s">
        <v>241</v>
      </c>
      <c r="E75" t="s">
        <v>242</v>
      </c>
      <c r="F75" s="4">
        <v>46377</v>
      </c>
      <c r="G75" t="s">
        <v>3</v>
      </c>
      <c r="H75" t="s">
        <v>21</v>
      </c>
      <c r="I75" t="s">
        <v>22</v>
      </c>
      <c r="J75">
        <v>8778</v>
      </c>
      <c r="K75">
        <v>16954</v>
      </c>
      <c r="O75" s="15">
        <v>35000</v>
      </c>
      <c r="P75" s="38">
        <f>SUM(J75:K75)</f>
        <v>25732</v>
      </c>
      <c r="Q75" s="45">
        <f>P75/O75</f>
        <v>0.73519999999999996</v>
      </c>
    </row>
    <row r="76" spans="1:21" ht="14.5" x14ac:dyDescent="0.35">
      <c r="A76" t="s">
        <v>124</v>
      </c>
      <c r="B76" t="s">
        <v>40</v>
      </c>
      <c r="D76" t="s">
        <v>219</v>
      </c>
      <c r="E76" t="s">
        <v>243</v>
      </c>
      <c r="F76" s="4">
        <v>46152</v>
      </c>
      <c r="G76" t="s">
        <v>244</v>
      </c>
      <c r="H76" t="s">
        <v>21</v>
      </c>
      <c r="I76" t="s">
        <v>22</v>
      </c>
      <c r="L76" t="s">
        <v>35</v>
      </c>
      <c r="O76" s="15">
        <v>41595</v>
      </c>
      <c r="P76" s="38">
        <v>25588</v>
      </c>
      <c r="Q76" s="45">
        <f>P76/O76</f>
        <v>0.61517009255920185</v>
      </c>
    </row>
    <row r="77" spans="1:21" ht="14.5" x14ac:dyDescent="0.35">
      <c r="A77" t="s">
        <v>245</v>
      </c>
      <c r="B77" t="s">
        <v>40</v>
      </c>
      <c r="D77" t="s">
        <v>246</v>
      </c>
      <c r="E77" t="s">
        <v>247</v>
      </c>
      <c r="F77" s="4">
        <v>46131</v>
      </c>
      <c r="G77" t="s">
        <v>248</v>
      </c>
      <c r="H77" t="s">
        <v>21</v>
      </c>
      <c r="I77" t="s">
        <v>22</v>
      </c>
      <c r="J77">
        <f>6907+2364+46+58+143+194+13+17</f>
        <v>9742</v>
      </c>
      <c r="K77">
        <f>5679+7081+24+5</f>
        <v>12789</v>
      </c>
      <c r="O77" s="15">
        <v>30000</v>
      </c>
      <c r="P77" s="38">
        <f>6907+2363+13+17+24+5+7081+5678+201+447+1887+143+57+46+194</f>
        <v>25063</v>
      </c>
      <c r="Q77" s="45">
        <f>P77/O77</f>
        <v>0.83543333333333336</v>
      </c>
    </row>
    <row r="78" spans="1:21" ht="14.5" x14ac:dyDescent="0.35">
      <c r="A78" t="s">
        <v>249</v>
      </c>
      <c r="B78" t="s">
        <v>50</v>
      </c>
      <c r="D78" t="s">
        <v>250</v>
      </c>
      <c r="E78" t="s">
        <v>251</v>
      </c>
      <c r="F78" s="4">
        <v>46257</v>
      </c>
      <c r="G78" t="s">
        <v>252</v>
      </c>
      <c r="H78" t="s">
        <v>21</v>
      </c>
      <c r="I78" t="s">
        <v>22</v>
      </c>
      <c r="K78">
        <v>24968</v>
      </c>
      <c r="O78" s="30">
        <v>25000</v>
      </c>
      <c r="P78" s="40">
        <v>24968</v>
      </c>
      <c r="Q78" s="45">
        <f>P78/O78</f>
        <v>0.99872000000000005</v>
      </c>
      <c r="R78" s="30"/>
      <c r="S78" s="30"/>
      <c r="U78" t="s">
        <v>252</v>
      </c>
    </row>
    <row r="79" spans="1:21" ht="14.5" x14ac:dyDescent="0.35">
      <c r="A79" t="s">
        <v>272</v>
      </c>
      <c r="B79" t="s">
        <v>31</v>
      </c>
      <c r="D79" t="s">
        <v>273</v>
      </c>
      <c r="E79" t="s">
        <v>2148</v>
      </c>
      <c r="F79" s="4">
        <v>46215</v>
      </c>
      <c r="G79" t="s">
        <v>3</v>
      </c>
      <c r="H79" t="s">
        <v>21</v>
      </c>
      <c r="I79" t="s">
        <v>22</v>
      </c>
      <c r="K79" t="s">
        <v>35</v>
      </c>
      <c r="O79" s="15">
        <v>30000</v>
      </c>
      <c r="P79" s="38">
        <f>O79-O79*0.17</f>
        <v>24900</v>
      </c>
      <c r="Q79" s="45">
        <f>P79/O79</f>
        <v>0.83</v>
      </c>
    </row>
    <row r="80" spans="1:21" ht="14.5" x14ac:dyDescent="0.35">
      <c r="A80" t="s">
        <v>16</v>
      </c>
      <c r="B80" t="s">
        <v>17</v>
      </c>
      <c r="D80" t="s">
        <v>770</v>
      </c>
      <c r="E80" t="s">
        <v>2228</v>
      </c>
      <c r="F80" s="4">
        <v>46278</v>
      </c>
      <c r="G80" t="s">
        <v>151</v>
      </c>
      <c r="I80" t="s">
        <v>22</v>
      </c>
      <c r="L80" t="s">
        <v>35</v>
      </c>
      <c r="M80" t="s">
        <v>35</v>
      </c>
      <c r="P80" s="38">
        <v>24703</v>
      </c>
      <c r="Q80" s="45" t="e">
        <f>P80/O80</f>
        <v>#DIV/0!</v>
      </c>
    </row>
    <row r="81" spans="1:21" ht="14.5" x14ac:dyDescent="0.35">
      <c r="A81" t="s">
        <v>39</v>
      </c>
      <c r="B81" t="s">
        <v>40</v>
      </c>
      <c r="D81" t="s">
        <v>253</v>
      </c>
      <c r="E81" t="s">
        <v>254</v>
      </c>
      <c r="F81" s="4">
        <v>46299</v>
      </c>
      <c r="G81" t="s">
        <v>255</v>
      </c>
      <c r="H81" t="s">
        <v>21</v>
      </c>
      <c r="I81" t="s">
        <v>22</v>
      </c>
      <c r="K81" t="s">
        <v>35</v>
      </c>
      <c r="O81" s="15">
        <v>27500</v>
      </c>
      <c r="P81" s="38">
        <f>24634+24</f>
        <v>24658</v>
      </c>
      <c r="Q81" s="45">
        <f>P81/O81</f>
        <v>0.89665454545454548</v>
      </c>
    </row>
    <row r="82" spans="1:21" ht="14.5" x14ac:dyDescent="0.35">
      <c r="A82" t="s">
        <v>72</v>
      </c>
      <c r="B82" t="s">
        <v>40</v>
      </c>
      <c r="D82" t="s">
        <v>256</v>
      </c>
      <c r="E82" t="s">
        <v>257</v>
      </c>
      <c r="F82" s="4">
        <v>46307</v>
      </c>
      <c r="G82" t="s">
        <v>258</v>
      </c>
      <c r="H82" t="s">
        <v>21</v>
      </c>
      <c r="I82" t="s">
        <v>22</v>
      </c>
      <c r="N82">
        <v>15</v>
      </c>
      <c r="P82" s="38">
        <f>23653+304</f>
        <v>23957</v>
      </c>
      <c r="Q82" s="45" t="e">
        <f>P82/O82</f>
        <v>#DIV/0!</v>
      </c>
    </row>
    <row r="83" spans="1:21" ht="14.5" x14ac:dyDescent="0.35">
      <c r="A83" t="s">
        <v>39</v>
      </c>
      <c r="B83" t="s">
        <v>40</v>
      </c>
      <c r="D83" t="s">
        <v>259</v>
      </c>
      <c r="E83" t="s">
        <v>260</v>
      </c>
      <c r="F83" s="4">
        <v>46131</v>
      </c>
      <c r="G83" t="s">
        <v>47</v>
      </c>
      <c r="H83" t="s">
        <v>21</v>
      </c>
      <c r="I83" t="s">
        <v>22</v>
      </c>
      <c r="J83" t="s">
        <v>35</v>
      </c>
      <c r="O83" s="15">
        <v>40000</v>
      </c>
      <c r="P83" s="38">
        <v>23949</v>
      </c>
      <c r="Q83" s="45">
        <f>P83/O83</f>
        <v>0.59872499999999995</v>
      </c>
    </row>
    <row r="84" spans="1:21" ht="14.5" x14ac:dyDescent="0.35">
      <c r="A84" t="s">
        <v>66</v>
      </c>
      <c r="B84" t="s">
        <v>40</v>
      </c>
      <c r="D84" t="s">
        <v>261</v>
      </c>
      <c r="E84" t="s">
        <v>262</v>
      </c>
      <c r="F84" s="4">
        <v>46299</v>
      </c>
      <c r="G84" t="s">
        <v>263</v>
      </c>
      <c r="H84" t="s">
        <v>21</v>
      </c>
      <c r="I84" t="s">
        <v>22</v>
      </c>
      <c r="J84">
        <f>6013+1927</f>
        <v>7940</v>
      </c>
      <c r="K84">
        <f>8596+7399</f>
        <v>15995</v>
      </c>
      <c r="N84" t="s">
        <v>264</v>
      </c>
      <c r="O84" s="15">
        <v>25000</v>
      </c>
      <c r="P84" s="38">
        <f>6013+1927+8596+7399</f>
        <v>23935</v>
      </c>
      <c r="Q84" s="45">
        <f>P84/O84</f>
        <v>0.95740000000000003</v>
      </c>
    </row>
    <row r="85" spans="1:21" ht="14.5" x14ac:dyDescent="0.35">
      <c r="A85" t="s">
        <v>39</v>
      </c>
      <c r="B85" t="s">
        <v>40</v>
      </c>
      <c r="D85" t="s">
        <v>41</v>
      </c>
      <c r="E85" t="s">
        <v>265</v>
      </c>
      <c r="F85" s="4">
        <v>46159</v>
      </c>
      <c r="G85" t="s">
        <v>113</v>
      </c>
      <c r="I85" t="s">
        <v>22</v>
      </c>
      <c r="K85">
        <f>20912</f>
        <v>20912</v>
      </c>
      <c r="M85">
        <f>2996</f>
        <v>2996</v>
      </c>
      <c r="O85" s="15">
        <v>24000</v>
      </c>
      <c r="P85" s="38">
        <f>SUM(K85:M85)</f>
        <v>23908</v>
      </c>
      <c r="Q85" s="45">
        <f>P85/O85</f>
        <v>0.99616666666666664</v>
      </c>
    </row>
    <row r="86" spans="1:21" ht="14.5" x14ac:dyDescent="0.35">
      <c r="A86" t="s">
        <v>266</v>
      </c>
      <c r="B86" t="s">
        <v>40</v>
      </c>
      <c r="D86" t="s">
        <v>267</v>
      </c>
      <c r="E86" t="s">
        <v>268</v>
      </c>
      <c r="G86" t="s">
        <v>269</v>
      </c>
      <c r="H86" t="s">
        <v>21</v>
      </c>
      <c r="I86" t="s">
        <v>270</v>
      </c>
      <c r="L86" t="s">
        <v>35</v>
      </c>
      <c r="O86" s="15">
        <v>28000</v>
      </c>
      <c r="P86" s="38">
        <f>23758</f>
        <v>23758</v>
      </c>
      <c r="Q86" s="45">
        <f>P86/O86</f>
        <v>0.84850000000000003</v>
      </c>
      <c r="T86">
        <v>1983</v>
      </c>
    </row>
    <row r="87" spans="1:21" ht="14.5" x14ac:dyDescent="0.35">
      <c r="A87" t="s">
        <v>30</v>
      </c>
      <c r="B87" t="s">
        <v>31</v>
      </c>
      <c r="D87" t="s">
        <v>54</v>
      </c>
      <c r="E87" t="s">
        <v>271</v>
      </c>
      <c r="F87" s="4">
        <v>46103</v>
      </c>
      <c r="N87">
        <v>8</v>
      </c>
      <c r="P87" s="38">
        <v>23733</v>
      </c>
      <c r="Q87" s="45" t="e">
        <f>P87/O87</f>
        <v>#DIV/0!</v>
      </c>
    </row>
    <row r="88" spans="1:21" ht="14.5" x14ac:dyDescent="0.35">
      <c r="A88" t="s">
        <v>272</v>
      </c>
      <c r="B88" t="s">
        <v>31</v>
      </c>
      <c r="D88" t="s">
        <v>273</v>
      </c>
      <c r="E88" t="s">
        <v>274</v>
      </c>
      <c r="F88" s="4">
        <v>46264</v>
      </c>
      <c r="G88" t="s">
        <v>3</v>
      </c>
      <c r="H88" t="s">
        <v>21</v>
      </c>
      <c r="I88" t="s">
        <v>22</v>
      </c>
      <c r="J88" t="s">
        <v>35</v>
      </c>
      <c r="O88" s="30">
        <v>30000</v>
      </c>
      <c r="P88" s="40">
        <v>23363</v>
      </c>
      <c r="Q88" s="45">
        <f>P88/O88</f>
        <v>0.77876666666666672</v>
      </c>
      <c r="R88" s="30"/>
      <c r="S88" s="30"/>
    </row>
    <row r="89" spans="1:21" ht="14.5" x14ac:dyDescent="0.35">
      <c r="A89" t="s">
        <v>24</v>
      </c>
      <c r="B89" t="s">
        <v>25</v>
      </c>
      <c r="D89" s="16" t="s">
        <v>275</v>
      </c>
      <c r="E89" s="16" t="s">
        <v>276</v>
      </c>
      <c r="F89" s="4">
        <v>46026</v>
      </c>
      <c r="G89" s="28" t="s">
        <v>38</v>
      </c>
      <c r="I89" t="s">
        <v>22</v>
      </c>
      <c r="J89">
        <v>883</v>
      </c>
      <c r="K89">
        <v>3876</v>
      </c>
      <c r="L89">
        <v>17544</v>
      </c>
      <c r="N89" t="s">
        <v>277</v>
      </c>
      <c r="P89" s="38">
        <f>SUM(J89:L89)+1043</f>
        <v>23346</v>
      </c>
      <c r="Q89" s="45" t="e">
        <f>P89/O89</f>
        <v>#DIV/0!</v>
      </c>
    </row>
    <row r="90" spans="1:21" ht="14.5" x14ac:dyDescent="0.35">
      <c r="A90" s="34" t="s">
        <v>44</v>
      </c>
      <c r="B90" s="34" t="s">
        <v>40</v>
      </c>
      <c r="C90" s="34" t="s">
        <v>2318</v>
      </c>
      <c r="D90" s="34" t="s">
        <v>278</v>
      </c>
      <c r="E90" s="34" t="s">
        <v>279</v>
      </c>
      <c r="F90" s="35">
        <v>46293</v>
      </c>
      <c r="G90" s="34" t="s">
        <v>38</v>
      </c>
      <c r="H90" s="34" t="s">
        <v>1775</v>
      </c>
      <c r="I90" s="34" t="s">
        <v>22</v>
      </c>
      <c r="J90" s="36"/>
      <c r="K90" s="36"/>
      <c r="L90" s="36"/>
      <c r="M90" s="36"/>
      <c r="N90" s="36" t="s">
        <v>280</v>
      </c>
      <c r="O90" s="36">
        <v>25000</v>
      </c>
      <c r="P90" s="36">
        <v>23335</v>
      </c>
      <c r="Q90" s="45">
        <f>P90/O90</f>
        <v>0.93340000000000001</v>
      </c>
      <c r="R90" s="36"/>
      <c r="S90" s="37"/>
      <c r="T90" s="34"/>
      <c r="U90" s="34"/>
    </row>
    <row r="91" spans="1:21" ht="14.5" x14ac:dyDescent="0.35">
      <c r="A91" t="s">
        <v>24</v>
      </c>
      <c r="B91" t="s">
        <v>25</v>
      </c>
      <c r="D91" t="s">
        <v>281</v>
      </c>
      <c r="E91" t="s">
        <v>282</v>
      </c>
      <c r="F91" s="4">
        <v>46376</v>
      </c>
      <c r="G91" t="s">
        <v>28</v>
      </c>
      <c r="I91" t="s">
        <v>22</v>
      </c>
      <c r="L91">
        <v>8068</v>
      </c>
      <c r="N91" t="s">
        <v>283</v>
      </c>
      <c r="O91" s="30">
        <v>23000</v>
      </c>
      <c r="P91" s="40">
        <f>6927+8068+6066+1815+450</f>
        <v>23326</v>
      </c>
      <c r="Q91" s="45">
        <f>P91/O91</f>
        <v>1.0141739130434784</v>
      </c>
      <c r="R91" s="30"/>
      <c r="S91" s="30"/>
    </row>
    <row r="92" spans="1:21" ht="14.5" x14ac:dyDescent="0.35">
      <c r="A92" t="s">
        <v>98</v>
      </c>
      <c r="B92" t="s">
        <v>40</v>
      </c>
      <c r="D92" t="s">
        <v>284</v>
      </c>
      <c r="E92" t="s">
        <v>285</v>
      </c>
      <c r="F92" s="4">
        <v>46131</v>
      </c>
      <c r="G92" t="s">
        <v>130</v>
      </c>
      <c r="H92" t="s">
        <v>48</v>
      </c>
      <c r="I92" t="s">
        <v>22</v>
      </c>
      <c r="J92" t="s">
        <v>35</v>
      </c>
      <c r="K92" t="s">
        <v>35</v>
      </c>
      <c r="L92" t="s">
        <v>35</v>
      </c>
      <c r="O92" s="15">
        <v>28000</v>
      </c>
      <c r="P92" s="38">
        <f>O92-O92*0.17</f>
        <v>23240</v>
      </c>
      <c r="Q92" s="45">
        <f>P92/O92</f>
        <v>0.83</v>
      </c>
      <c r="U92" s="9" t="s">
        <v>286</v>
      </c>
    </row>
    <row r="93" spans="1:21" ht="14.5" x14ac:dyDescent="0.35">
      <c r="A93" t="s">
        <v>63</v>
      </c>
      <c r="B93" t="s">
        <v>40</v>
      </c>
      <c r="D93" t="s">
        <v>287</v>
      </c>
      <c r="E93" t="s">
        <v>288</v>
      </c>
      <c r="F93" s="4">
        <v>46151</v>
      </c>
      <c r="G93" t="s">
        <v>289</v>
      </c>
      <c r="H93" t="s">
        <v>48</v>
      </c>
      <c r="I93" t="s">
        <v>22</v>
      </c>
      <c r="N93" t="s">
        <v>290</v>
      </c>
      <c r="O93" s="15">
        <f>16338+9505</f>
        <v>25843</v>
      </c>
      <c r="P93" s="38">
        <f>14300+8745</f>
        <v>23045</v>
      </c>
      <c r="Q93" s="45">
        <f>P93/O93</f>
        <v>0.89173083620322713</v>
      </c>
    </row>
    <row r="94" spans="1:21" ht="14.5" x14ac:dyDescent="0.35">
      <c r="A94" t="s">
        <v>196</v>
      </c>
      <c r="B94" t="s">
        <v>25</v>
      </c>
      <c r="D94" t="s">
        <v>291</v>
      </c>
      <c r="E94" t="s">
        <v>292</v>
      </c>
      <c r="F94" s="4">
        <v>46362</v>
      </c>
      <c r="G94" t="s">
        <v>293</v>
      </c>
      <c r="H94" t="s">
        <v>21</v>
      </c>
      <c r="I94" t="s">
        <v>22</v>
      </c>
      <c r="J94" t="s">
        <v>35</v>
      </c>
      <c r="O94" s="30">
        <v>30000</v>
      </c>
      <c r="P94" s="40">
        <v>23000</v>
      </c>
      <c r="Q94" s="45">
        <f>P94/O94</f>
        <v>0.76666666666666672</v>
      </c>
      <c r="R94" s="30"/>
      <c r="S94" s="30"/>
    </row>
    <row r="95" spans="1:21" ht="14.5" x14ac:dyDescent="0.35">
      <c r="A95" t="s">
        <v>30</v>
      </c>
      <c r="B95" t="s">
        <v>31</v>
      </c>
      <c r="D95" t="s">
        <v>294</v>
      </c>
      <c r="E95" t="s">
        <v>295</v>
      </c>
      <c r="F95" s="4">
        <v>46199</v>
      </c>
      <c r="G95" t="s">
        <v>296</v>
      </c>
      <c r="I95" t="s">
        <v>22</v>
      </c>
      <c r="J95">
        <v>6545</v>
      </c>
      <c r="K95">
        <f>7100+3608</f>
        <v>10708</v>
      </c>
      <c r="L95">
        <v>3974</v>
      </c>
      <c r="M95">
        <v>1640</v>
      </c>
      <c r="N95" t="s">
        <v>297</v>
      </c>
      <c r="O95" s="15">
        <v>27500</v>
      </c>
      <c r="P95" s="38">
        <f>6545+7100+3608+3974+1640</f>
        <v>22867</v>
      </c>
      <c r="Q95" s="45">
        <f>P95/O95</f>
        <v>0.83152727272727278</v>
      </c>
    </row>
    <row r="96" spans="1:21" ht="14.5" x14ac:dyDescent="0.35">
      <c r="A96" t="s">
        <v>298</v>
      </c>
      <c r="B96" t="s">
        <v>17</v>
      </c>
      <c r="D96" t="s">
        <v>299</v>
      </c>
      <c r="E96" t="s">
        <v>300</v>
      </c>
      <c r="F96" s="4">
        <v>46089</v>
      </c>
      <c r="G96" t="s">
        <v>301</v>
      </c>
      <c r="H96" t="s">
        <v>21</v>
      </c>
      <c r="I96" t="s">
        <v>302</v>
      </c>
      <c r="N96" t="s">
        <v>303</v>
      </c>
      <c r="P96" s="38">
        <f>22685+94</f>
        <v>22779</v>
      </c>
      <c r="Q96" s="45" t="e">
        <f>P96/O96</f>
        <v>#DIV/0!</v>
      </c>
    </row>
    <row r="97" spans="1:21" ht="14.5" x14ac:dyDescent="0.35">
      <c r="A97" t="s">
        <v>94</v>
      </c>
      <c r="B97" t="s">
        <v>50</v>
      </c>
      <c r="D97" t="s">
        <v>304</v>
      </c>
      <c r="E97" t="s">
        <v>305</v>
      </c>
      <c r="F97" s="4">
        <v>46271</v>
      </c>
      <c r="G97" t="s">
        <v>306</v>
      </c>
      <c r="I97" t="s">
        <v>22</v>
      </c>
      <c r="J97">
        <v>4431</v>
      </c>
      <c r="K97">
        <v>10310</v>
      </c>
      <c r="L97">
        <v>4748</v>
      </c>
      <c r="M97">
        <v>3077</v>
      </c>
      <c r="O97" s="30">
        <f>5587+11480+4765+3863</f>
        <v>25695</v>
      </c>
      <c r="P97" s="40">
        <f>SUM(J97:M97)</f>
        <v>22566</v>
      </c>
      <c r="Q97" s="45">
        <f>P97/O97</f>
        <v>0.87822533566841798</v>
      </c>
      <c r="R97" s="30"/>
      <c r="S97" s="30"/>
    </row>
    <row r="98" spans="1:21" ht="29" x14ac:dyDescent="0.35">
      <c r="A98" t="s">
        <v>245</v>
      </c>
      <c r="B98" t="s">
        <v>40</v>
      </c>
      <c r="D98" t="s">
        <v>246</v>
      </c>
      <c r="E98" t="s">
        <v>307</v>
      </c>
      <c r="F98" s="4">
        <v>46173</v>
      </c>
      <c r="G98" s="6" t="s">
        <v>308</v>
      </c>
      <c r="H98" t="s">
        <v>21</v>
      </c>
      <c r="I98" t="s">
        <v>22</v>
      </c>
      <c r="L98" t="s">
        <v>35</v>
      </c>
      <c r="M98" t="s">
        <v>35</v>
      </c>
      <c r="O98" s="15">
        <v>33000</v>
      </c>
      <c r="P98" s="38">
        <f>5383+17173</f>
        <v>22556</v>
      </c>
      <c r="Q98" s="45">
        <f>P98/O98</f>
        <v>0.68351515151515152</v>
      </c>
    </row>
    <row r="99" spans="1:21" ht="14.5" x14ac:dyDescent="0.35">
      <c r="A99" t="s">
        <v>124</v>
      </c>
      <c r="B99" t="s">
        <v>40</v>
      </c>
      <c r="D99" t="s">
        <v>309</v>
      </c>
      <c r="E99" t="s">
        <v>310</v>
      </c>
      <c r="F99" s="4">
        <v>46334</v>
      </c>
      <c r="G99" t="s">
        <v>38</v>
      </c>
      <c r="H99" t="s">
        <v>21</v>
      </c>
      <c r="I99" t="s">
        <v>22</v>
      </c>
      <c r="L99" t="s">
        <v>35</v>
      </c>
      <c r="N99" t="s">
        <v>311</v>
      </c>
      <c r="O99" s="15">
        <v>27000</v>
      </c>
      <c r="P99" s="38">
        <f>O99-O99*0.17</f>
        <v>22410</v>
      </c>
      <c r="Q99" s="45">
        <f>P99/O99</f>
        <v>0.83</v>
      </c>
      <c r="U99" t="s">
        <v>312</v>
      </c>
    </row>
    <row r="100" spans="1:21" ht="14.5" x14ac:dyDescent="0.35">
      <c r="A100" s="34" t="s">
        <v>44</v>
      </c>
      <c r="B100" s="34" t="s">
        <v>40</v>
      </c>
      <c r="C100" s="34" t="s">
        <v>115</v>
      </c>
      <c r="D100" s="34" t="s">
        <v>313</v>
      </c>
      <c r="E100" s="34" t="s">
        <v>314</v>
      </c>
      <c r="F100" s="35">
        <v>46349</v>
      </c>
      <c r="G100" s="34" t="s">
        <v>47</v>
      </c>
      <c r="H100" s="34" t="s">
        <v>1775</v>
      </c>
      <c r="I100" s="34" t="s">
        <v>22</v>
      </c>
      <c r="J100" s="36">
        <v>4500</v>
      </c>
      <c r="K100" s="36">
        <v>9500</v>
      </c>
      <c r="L100" s="36"/>
      <c r="M100" s="36"/>
      <c r="N100" s="34" t="s">
        <v>315</v>
      </c>
      <c r="O100" s="36">
        <v>33000</v>
      </c>
      <c r="P100" s="38">
        <f>3941+8965+9265</f>
        <v>22171</v>
      </c>
      <c r="Q100" s="45">
        <f>P100/O100</f>
        <v>0.67184848484848481</v>
      </c>
      <c r="R100" s="36"/>
      <c r="S100" s="37"/>
      <c r="T100" s="34"/>
      <c r="U100" s="34"/>
    </row>
    <row r="101" spans="1:21" ht="14.5" x14ac:dyDescent="0.35">
      <c r="A101" s="26" t="s">
        <v>30</v>
      </c>
      <c r="B101" s="26" t="s">
        <v>31</v>
      </c>
      <c r="C101" s="26"/>
      <c r="D101" s="26" t="s">
        <v>2244</v>
      </c>
      <c r="E101" s="26" t="s">
        <v>2245</v>
      </c>
      <c r="F101" s="26"/>
      <c r="G101" t="s">
        <v>2246</v>
      </c>
      <c r="H101" s="26"/>
      <c r="I101" s="26" t="s">
        <v>22</v>
      </c>
      <c r="J101" s="26" t="s">
        <v>35</v>
      </c>
      <c r="K101" s="26" t="s">
        <v>35</v>
      </c>
      <c r="L101" s="26" t="s">
        <v>35</v>
      </c>
      <c r="M101" s="26" t="s">
        <v>35</v>
      </c>
      <c r="N101" s="26" t="s">
        <v>495</v>
      </c>
      <c r="O101" s="32"/>
      <c r="P101" s="49">
        <v>21899</v>
      </c>
      <c r="Q101" s="45" t="e">
        <f>P101/O101</f>
        <v>#DIV/0!</v>
      </c>
      <c r="R101" s="32"/>
      <c r="S101" s="32"/>
    </row>
    <row r="102" spans="1:21" ht="14.5" x14ac:dyDescent="0.35">
      <c r="A102" t="s">
        <v>200</v>
      </c>
      <c r="B102" t="s">
        <v>201</v>
      </c>
      <c r="D102" t="s">
        <v>202</v>
      </c>
      <c r="E102" t="s">
        <v>203</v>
      </c>
      <c r="F102" s="4">
        <v>46053</v>
      </c>
      <c r="G102" t="s">
        <v>204</v>
      </c>
      <c r="H102" t="s">
        <v>48</v>
      </c>
      <c r="I102" t="s">
        <v>22</v>
      </c>
      <c r="J102" t="s">
        <v>35</v>
      </c>
      <c r="K102" t="s">
        <v>35</v>
      </c>
      <c r="L102" t="s">
        <v>35</v>
      </c>
      <c r="M102" t="s">
        <v>35</v>
      </c>
      <c r="O102" s="30">
        <v>40000</v>
      </c>
      <c r="P102" s="40">
        <f>22+12+625+3628+11858+5666</f>
        <v>21811</v>
      </c>
      <c r="Q102" s="45">
        <f>P102/O102</f>
        <v>0.54527499999999995</v>
      </c>
      <c r="R102" s="30"/>
      <c r="S102" s="30"/>
    </row>
    <row r="103" spans="1:21" ht="14.5" x14ac:dyDescent="0.35">
      <c r="A103" t="s">
        <v>124</v>
      </c>
      <c r="B103" t="s">
        <v>40</v>
      </c>
      <c r="D103" t="s">
        <v>219</v>
      </c>
      <c r="E103" t="s">
        <v>316</v>
      </c>
      <c r="F103" s="4">
        <v>46096</v>
      </c>
      <c r="G103" t="s">
        <v>227</v>
      </c>
      <c r="H103" t="s">
        <v>48</v>
      </c>
      <c r="I103" t="s">
        <v>22</v>
      </c>
      <c r="J103">
        <v>21707</v>
      </c>
      <c r="O103" s="15">
        <v>27000</v>
      </c>
      <c r="P103" s="38">
        <f>21707</f>
        <v>21707</v>
      </c>
      <c r="Q103" s="45">
        <f>P103/O103</f>
        <v>0.80396296296296299</v>
      </c>
    </row>
    <row r="104" spans="1:21" ht="14.5" x14ac:dyDescent="0.35">
      <c r="A104" t="s">
        <v>131</v>
      </c>
      <c r="B104" t="s">
        <v>25</v>
      </c>
      <c r="D104" t="s">
        <v>2210</v>
      </c>
      <c r="E104" t="s">
        <v>2211</v>
      </c>
      <c r="F104" s="4">
        <v>46362</v>
      </c>
      <c r="G104" t="s">
        <v>38</v>
      </c>
      <c r="I104" t="s">
        <v>22</v>
      </c>
      <c r="J104" t="s">
        <v>35</v>
      </c>
      <c r="L104" t="s">
        <v>35</v>
      </c>
      <c r="O104" s="15">
        <v>26000</v>
      </c>
      <c r="P104" s="38">
        <f>O104-O104*0.17</f>
        <v>21580</v>
      </c>
      <c r="Q104" s="45">
        <f>P104/O104</f>
        <v>0.83</v>
      </c>
      <c r="U104" t="s">
        <v>2212</v>
      </c>
    </row>
    <row r="105" spans="1:21" ht="14.5" x14ac:dyDescent="0.35">
      <c r="A105" t="s">
        <v>196</v>
      </c>
      <c r="B105" t="s">
        <v>25</v>
      </c>
      <c r="D105" t="s">
        <v>2032</v>
      </c>
      <c r="E105" t="s">
        <v>2033</v>
      </c>
      <c r="F105" s="4">
        <v>46377</v>
      </c>
      <c r="G105" t="s">
        <v>3</v>
      </c>
      <c r="H105" t="s">
        <v>1775</v>
      </c>
      <c r="I105" t="s">
        <v>22</v>
      </c>
      <c r="J105" t="s">
        <v>35</v>
      </c>
      <c r="O105" s="15">
        <v>26000</v>
      </c>
      <c r="P105" s="38">
        <f>O105-O105*0.17</f>
        <v>21580</v>
      </c>
      <c r="Q105" s="45">
        <f>P105/O105</f>
        <v>0.83</v>
      </c>
    </row>
    <row r="106" spans="1:21" ht="14.5" x14ac:dyDescent="0.35">
      <c r="A106" t="s">
        <v>124</v>
      </c>
      <c r="B106" t="s">
        <v>40</v>
      </c>
      <c r="D106" t="s">
        <v>125</v>
      </c>
      <c r="E106" t="s">
        <v>317</v>
      </c>
      <c r="F106" s="4">
        <v>46387</v>
      </c>
      <c r="G106" t="s">
        <v>318</v>
      </c>
      <c r="H106" t="s">
        <v>48</v>
      </c>
      <c r="I106" t="s">
        <v>22</v>
      </c>
      <c r="L106" t="s">
        <v>35</v>
      </c>
      <c r="O106" s="15">
        <v>42500</v>
      </c>
      <c r="P106" s="38">
        <f>15*1315+3+15*121</f>
        <v>21543</v>
      </c>
      <c r="Q106" s="45">
        <f>P106/O106</f>
        <v>0.50689411764705883</v>
      </c>
    </row>
    <row r="107" spans="1:21" ht="14.5" x14ac:dyDescent="0.35">
      <c r="A107" t="s">
        <v>319</v>
      </c>
      <c r="B107" t="s">
        <v>25</v>
      </c>
      <c r="D107" t="s">
        <v>320</v>
      </c>
      <c r="E107" t="s">
        <v>321</v>
      </c>
      <c r="F107" s="4">
        <v>46320</v>
      </c>
      <c r="G107" t="s">
        <v>322</v>
      </c>
      <c r="H107" t="s">
        <v>21</v>
      </c>
      <c r="I107" t="s">
        <v>22</v>
      </c>
      <c r="J107">
        <v>1050</v>
      </c>
      <c r="K107">
        <v>8779</v>
      </c>
      <c r="L107">
        <v>7837</v>
      </c>
      <c r="M107">
        <v>3855</v>
      </c>
      <c r="O107" s="15">
        <v>27300</v>
      </c>
      <c r="P107" s="38">
        <f>1050+8779+7837+3855</f>
        <v>21521</v>
      </c>
      <c r="Q107" s="45">
        <f>P107/O107</f>
        <v>0.78831501831501827</v>
      </c>
    </row>
    <row r="108" spans="1:21" ht="14.5" x14ac:dyDescent="0.35">
      <c r="A108" t="s">
        <v>323</v>
      </c>
      <c r="B108" t="s">
        <v>40</v>
      </c>
      <c r="D108" t="s">
        <v>324</v>
      </c>
      <c r="E108" t="s">
        <v>325</v>
      </c>
      <c r="F108" s="4">
        <v>46282</v>
      </c>
      <c r="G108" t="s">
        <v>326</v>
      </c>
      <c r="I108" t="s">
        <v>22</v>
      </c>
      <c r="J108">
        <f>2084+580</f>
        <v>2664</v>
      </c>
      <c r="K108">
        <f>2104+3232+18</f>
        <v>5354</v>
      </c>
      <c r="L108">
        <f>2836+2908</f>
        <v>5744</v>
      </c>
      <c r="N108">
        <v>6</v>
      </c>
      <c r="O108" s="15">
        <v>40122</v>
      </c>
      <c r="P108" s="38">
        <f>2084+580+2104+3232+2910+2801+4535+3006</f>
        <v>21252</v>
      </c>
      <c r="Q108" s="45">
        <f>P108/O108</f>
        <v>0.52968446238971134</v>
      </c>
      <c r="T108">
        <v>1991</v>
      </c>
      <c r="U108" t="s">
        <v>327</v>
      </c>
    </row>
    <row r="109" spans="1:21" ht="14.5" x14ac:dyDescent="0.35">
      <c r="A109" t="s">
        <v>66</v>
      </c>
      <c r="B109" t="s">
        <v>40</v>
      </c>
      <c r="D109" t="s">
        <v>328</v>
      </c>
      <c r="E109" t="s">
        <v>329</v>
      </c>
      <c r="F109" s="4">
        <v>46138</v>
      </c>
      <c r="G109" t="s">
        <v>330</v>
      </c>
      <c r="H109" t="s">
        <v>21</v>
      </c>
      <c r="I109" t="s">
        <v>22</v>
      </c>
      <c r="J109">
        <f>8758+2925</f>
        <v>11683</v>
      </c>
      <c r="K109">
        <f>1985+1919</f>
        <v>3904</v>
      </c>
      <c r="O109" s="15">
        <v>34000</v>
      </c>
      <c r="P109" s="38">
        <f>8758+2925+1985+1919+233*4+164*4+990*4</f>
        <v>21135</v>
      </c>
      <c r="Q109" s="45">
        <f>P109/O109</f>
        <v>0.6216176470588235</v>
      </c>
    </row>
    <row r="110" spans="1:21" ht="14.5" x14ac:dyDescent="0.35">
      <c r="A110" s="34" t="s">
        <v>44</v>
      </c>
      <c r="B110" s="34" t="s">
        <v>40</v>
      </c>
      <c r="C110" s="34" t="s">
        <v>331</v>
      </c>
      <c r="D110" s="34" t="s">
        <v>331</v>
      </c>
      <c r="E110" s="34" t="s">
        <v>332</v>
      </c>
      <c r="F110" s="35">
        <v>46334</v>
      </c>
      <c r="G110" s="34" t="s">
        <v>38</v>
      </c>
      <c r="H110" s="34" t="s">
        <v>1775</v>
      </c>
      <c r="I110" s="34" t="s">
        <v>22</v>
      </c>
      <c r="J110" s="36"/>
      <c r="K110" s="36">
        <v>15000</v>
      </c>
      <c r="L110" s="36">
        <v>8000</v>
      </c>
      <c r="M110" s="36" t="s">
        <v>333</v>
      </c>
      <c r="N110" s="34" t="s">
        <v>334</v>
      </c>
      <c r="O110" s="36">
        <v>24000</v>
      </c>
      <c r="P110" s="36">
        <f>13522+7591</f>
        <v>21113</v>
      </c>
      <c r="Q110" s="45">
        <f>P110/O110</f>
        <v>0.87970833333333331</v>
      </c>
      <c r="R110" s="38"/>
      <c r="S110" s="39"/>
      <c r="T110" s="34"/>
      <c r="U110" s="34"/>
    </row>
    <row r="111" spans="1:21" ht="14.5" x14ac:dyDescent="0.35">
      <c r="A111" t="s">
        <v>124</v>
      </c>
      <c r="B111" t="s">
        <v>40</v>
      </c>
      <c r="D111" t="s">
        <v>125</v>
      </c>
      <c r="E111" t="s">
        <v>335</v>
      </c>
      <c r="F111" s="4">
        <v>46103</v>
      </c>
      <c r="G111" t="s">
        <v>336</v>
      </c>
      <c r="H111" t="s">
        <v>21</v>
      </c>
      <c r="I111" t="s">
        <v>22</v>
      </c>
      <c r="K111" t="s">
        <v>35</v>
      </c>
      <c r="M111" t="s">
        <v>35</v>
      </c>
      <c r="O111" s="15">
        <v>22000</v>
      </c>
      <c r="P111" s="38">
        <v>20918</v>
      </c>
      <c r="Q111" s="45">
        <f>P111/O111</f>
        <v>0.95081818181818178</v>
      </c>
    </row>
    <row r="112" spans="1:21" ht="14.5" x14ac:dyDescent="0.35">
      <c r="A112" t="s">
        <v>196</v>
      </c>
      <c r="B112" t="s">
        <v>25</v>
      </c>
      <c r="D112" t="s">
        <v>2022</v>
      </c>
      <c r="E112" t="s">
        <v>2023</v>
      </c>
      <c r="F112" s="4">
        <v>46158</v>
      </c>
      <c r="I112" t="s">
        <v>956</v>
      </c>
      <c r="J112" t="s">
        <v>35</v>
      </c>
      <c r="K112" t="s">
        <v>35</v>
      </c>
      <c r="O112" s="15">
        <v>25000</v>
      </c>
      <c r="P112" s="38">
        <f>O112-O112*0.17</f>
        <v>20750</v>
      </c>
      <c r="Q112" s="45">
        <f>P112/O112</f>
        <v>0.83</v>
      </c>
    </row>
    <row r="113" spans="1:21" ht="14.5" x14ac:dyDescent="0.35">
      <c r="A113" t="s">
        <v>16</v>
      </c>
      <c r="B113" t="s">
        <v>17</v>
      </c>
      <c r="D113" t="s">
        <v>18</v>
      </c>
      <c r="E113" t="s">
        <v>337</v>
      </c>
      <c r="F113" s="4">
        <v>46145</v>
      </c>
      <c r="G113" t="s">
        <v>20</v>
      </c>
      <c r="I113" t="s">
        <v>22</v>
      </c>
      <c r="K113" t="s">
        <v>35</v>
      </c>
      <c r="L113" t="s">
        <v>35</v>
      </c>
      <c r="O113" s="15">
        <v>25000</v>
      </c>
      <c r="P113" s="38">
        <v>20531</v>
      </c>
      <c r="Q113" s="45">
        <f>P113/O113</f>
        <v>0.82123999999999997</v>
      </c>
    </row>
    <row r="114" spans="1:21" ht="14.5" x14ac:dyDescent="0.35">
      <c r="A114" t="s">
        <v>338</v>
      </c>
      <c r="B114" t="s">
        <v>40</v>
      </c>
      <c r="D114" t="s">
        <v>339</v>
      </c>
      <c r="E114" t="s">
        <v>340</v>
      </c>
      <c r="F114" s="4">
        <v>46277</v>
      </c>
      <c r="G114" t="s">
        <v>341</v>
      </c>
      <c r="H114" t="s">
        <v>21</v>
      </c>
      <c r="I114" t="s">
        <v>22</v>
      </c>
      <c r="J114">
        <v>4145</v>
      </c>
      <c r="K114">
        <v>9769</v>
      </c>
      <c r="L114">
        <v>6518</v>
      </c>
      <c r="O114" s="15">
        <v>25000</v>
      </c>
      <c r="P114" s="38">
        <f>4185+9769+6518</f>
        <v>20472</v>
      </c>
      <c r="Q114" s="45">
        <f>P114/O114</f>
        <v>0.81888000000000005</v>
      </c>
    </row>
    <row r="115" spans="1:21" ht="14.5" x14ac:dyDescent="0.35">
      <c r="A115" t="s">
        <v>30</v>
      </c>
      <c r="B115" t="s">
        <v>31</v>
      </c>
      <c r="D115" t="s">
        <v>342</v>
      </c>
      <c r="E115" t="s">
        <v>343</v>
      </c>
      <c r="F115" s="4">
        <v>46047</v>
      </c>
      <c r="G115" t="s">
        <v>344</v>
      </c>
      <c r="I115" t="s">
        <v>22</v>
      </c>
      <c r="J115">
        <f>3272+18+10</f>
        <v>3300</v>
      </c>
      <c r="K115">
        <f>18+14262+4</f>
        <v>14284</v>
      </c>
      <c r="M115">
        <v>2737</v>
      </c>
      <c r="O115" s="15">
        <f>2742+18+3323+12+18+14395+4</f>
        <v>20512</v>
      </c>
      <c r="P115" s="38">
        <f>SUM(J115:M115)</f>
        <v>20321</v>
      </c>
      <c r="Q115" s="45">
        <f>P115/O115</f>
        <v>0.99068837753510142</v>
      </c>
    </row>
    <row r="116" spans="1:21" ht="14.5" x14ac:dyDescent="0.35">
      <c r="A116" t="s">
        <v>30</v>
      </c>
      <c r="B116" t="s">
        <v>31</v>
      </c>
      <c r="D116" t="s">
        <v>345</v>
      </c>
      <c r="E116" t="s">
        <v>346</v>
      </c>
      <c r="F116" s="4">
        <v>46306</v>
      </c>
      <c r="G116" t="s">
        <v>113</v>
      </c>
      <c r="I116" t="s">
        <v>22</v>
      </c>
      <c r="J116">
        <v>4754</v>
      </c>
      <c r="K116">
        <v>12121</v>
      </c>
      <c r="M116">
        <v>3371</v>
      </c>
      <c r="O116" s="15">
        <v>25000</v>
      </c>
      <c r="P116" s="38">
        <f>4754+12121+3371+12+4+12</f>
        <v>20274</v>
      </c>
      <c r="Q116" s="45">
        <f>P116/O116</f>
        <v>0.81096000000000001</v>
      </c>
    </row>
    <row r="117" spans="1:21" ht="14.5" x14ac:dyDescent="0.35">
      <c r="A117" t="s">
        <v>347</v>
      </c>
      <c r="B117" t="s">
        <v>40</v>
      </c>
      <c r="D117" t="s">
        <v>348</v>
      </c>
      <c r="E117" t="s">
        <v>349</v>
      </c>
      <c r="F117" s="4">
        <v>46103</v>
      </c>
      <c r="G117" t="s">
        <v>38</v>
      </c>
      <c r="H117" t="s">
        <v>21</v>
      </c>
      <c r="I117" t="s">
        <v>22</v>
      </c>
      <c r="K117" t="s">
        <v>35</v>
      </c>
      <c r="M117" t="s">
        <v>35</v>
      </c>
      <c r="O117" s="15">
        <v>25200</v>
      </c>
      <c r="P117" s="38">
        <v>20095</v>
      </c>
      <c r="Q117" s="45">
        <f>P117/O117</f>
        <v>0.79742063492063497</v>
      </c>
      <c r="T117">
        <v>2005</v>
      </c>
      <c r="U117" t="s">
        <v>350</v>
      </c>
    </row>
    <row r="118" spans="1:21" ht="14.5" x14ac:dyDescent="0.35">
      <c r="A118" t="s">
        <v>39</v>
      </c>
      <c r="B118" t="s">
        <v>40</v>
      </c>
      <c r="D118" t="s">
        <v>41</v>
      </c>
      <c r="E118" t="s">
        <v>351</v>
      </c>
      <c r="F118" s="4">
        <v>46068</v>
      </c>
      <c r="G118" t="s">
        <v>47</v>
      </c>
      <c r="H118" t="s">
        <v>21</v>
      </c>
      <c r="I118" t="s">
        <v>22</v>
      </c>
      <c r="L118" t="s">
        <v>35</v>
      </c>
      <c r="O118" s="15">
        <v>25000</v>
      </c>
      <c r="P118" s="38">
        <v>20046</v>
      </c>
      <c r="Q118" s="45">
        <f>P118/O118</f>
        <v>0.80184</v>
      </c>
    </row>
    <row r="119" spans="1:21" ht="14.5" x14ac:dyDescent="0.35">
      <c r="A119" s="26" t="s">
        <v>30</v>
      </c>
      <c r="B119" s="26" t="s">
        <v>31</v>
      </c>
      <c r="C119" s="26"/>
      <c r="D119" s="26" t="s">
        <v>795</v>
      </c>
      <c r="E119" s="26" t="s">
        <v>2243</v>
      </c>
      <c r="F119" s="26"/>
      <c r="I119" s="26" t="s">
        <v>718</v>
      </c>
      <c r="J119" s="26"/>
      <c r="K119" s="26"/>
      <c r="L119" s="26" t="s">
        <v>35</v>
      </c>
      <c r="M119" s="26" t="s">
        <v>35</v>
      </c>
      <c r="N119" s="26"/>
      <c r="O119" s="32"/>
      <c r="P119" s="49">
        <v>20019</v>
      </c>
      <c r="Q119" s="45" t="e">
        <f>P119/O119</f>
        <v>#DIV/0!</v>
      </c>
      <c r="R119" s="32"/>
      <c r="S119" s="32"/>
    </row>
    <row r="120" spans="1:21" ht="14.5" x14ac:dyDescent="0.35">
      <c r="A120" t="s">
        <v>24</v>
      </c>
      <c r="B120" t="s">
        <v>25</v>
      </c>
      <c r="D120" s="16" t="s">
        <v>352</v>
      </c>
      <c r="E120" s="16" t="s">
        <v>353</v>
      </c>
      <c r="F120" s="17">
        <v>46355</v>
      </c>
      <c r="G120" s="28" t="s">
        <v>354</v>
      </c>
      <c r="I120" t="s">
        <v>22</v>
      </c>
      <c r="J120" t="s">
        <v>35</v>
      </c>
      <c r="K120" t="s">
        <v>35</v>
      </c>
      <c r="L120" t="s">
        <v>35</v>
      </c>
      <c r="M120" t="s">
        <v>35</v>
      </c>
      <c r="O120" s="15">
        <v>24000</v>
      </c>
      <c r="P120" s="38">
        <f>O120-O120*0.17</f>
        <v>19920</v>
      </c>
      <c r="Q120" s="45">
        <f>P120/O120</f>
        <v>0.83</v>
      </c>
    </row>
    <row r="121" spans="1:21" ht="14.5" x14ac:dyDescent="0.35">
      <c r="A121" t="s">
        <v>39</v>
      </c>
      <c r="B121" t="s">
        <v>40</v>
      </c>
      <c r="D121" t="s">
        <v>41</v>
      </c>
      <c r="E121" t="s">
        <v>355</v>
      </c>
      <c r="F121" s="4">
        <v>46124</v>
      </c>
      <c r="G121" t="s">
        <v>356</v>
      </c>
      <c r="H121" t="s">
        <v>21</v>
      </c>
      <c r="I121" t="s">
        <v>22</v>
      </c>
      <c r="O121" s="15">
        <v>20000</v>
      </c>
      <c r="P121" s="38">
        <f>19778+4</f>
        <v>19782</v>
      </c>
      <c r="Q121" s="45">
        <f>P121/O121</f>
        <v>0.98909999999999998</v>
      </c>
    </row>
    <row r="122" spans="1:21" ht="14.5" x14ac:dyDescent="0.35">
      <c r="A122" t="s">
        <v>357</v>
      </c>
      <c r="B122" t="s">
        <v>81</v>
      </c>
      <c r="D122" t="s">
        <v>358</v>
      </c>
      <c r="E122" t="s">
        <v>359</v>
      </c>
      <c r="F122" s="4">
        <v>46320</v>
      </c>
      <c r="I122" t="s">
        <v>22</v>
      </c>
      <c r="J122">
        <v>1486</v>
      </c>
      <c r="K122">
        <f>8161+62</f>
        <v>8223</v>
      </c>
      <c r="L122">
        <v>10022</v>
      </c>
      <c r="P122" s="38">
        <f>SUM(J122:L122)</f>
        <v>19731</v>
      </c>
      <c r="Q122" s="45" t="e">
        <f>P122/O122</f>
        <v>#DIV/0!</v>
      </c>
    </row>
    <row r="123" spans="1:21" ht="14.5" x14ac:dyDescent="0.35">
      <c r="A123" s="34" t="s">
        <v>44</v>
      </c>
      <c r="B123" s="34" t="s">
        <v>40</v>
      </c>
      <c r="C123" s="34" t="s">
        <v>2319</v>
      </c>
      <c r="D123" s="34" t="s">
        <v>360</v>
      </c>
      <c r="E123" s="34" t="s">
        <v>361</v>
      </c>
      <c r="F123" s="35">
        <v>46320</v>
      </c>
      <c r="G123" s="34" t="s">
        <v>1784</v>
      </c>
      <c r="H123" s="34" t="s">
        <v>1775</v>
      </c>
      <c r="I123" s="34" t="s">
        <v>22</v>
      </c>
      <c r="J123" s="36"/>
      <c r="K123" s="36"/>
      <c r="L123" s="36"/>
      <c r="M123" s="36"/>
      <c r="N123" s="34" t="s">
        <v>2320</v>
      </c>
      <c r="O123" s="36">
        <v>20000</v>
      </c>
      <c r="P123" s="36">
        <v>19721</v>
      </c>
      <c r="Q123" s="45">
        <f>P123/O123</f>
        <v>0.98604999999999998</v>
      </c>
      <c r="R123" s="36"/>
      <c r="S123" s="37"/>
      <c r="T123" s="34"/>
      <c r="U123" s="34"/>
    </row>
    <row r="124" spans="1:21" ht="14.5" x14ac:dyDescent="0.35">
      <c r="A124" t="s">
        <v>72</v>
      </c>
      <c r="B124" t="s">
        <v>40</v>
      </c>
      <c r="D124" t="s">
        <v>128</v>
      </c>
      <c r="E124" t="s">
        <v>362</v>
      </c>
      <c r="F124" s="4">
        <v>46096</v>
      </c>
      <c r="G124" t="s">
        <v>130</v>
      </c>
      <c r="H124" t="s">
        <v>48</v>
      </c>
      <c r="I124" t="s">
        <v>22</v>
      </c>
      <c r="K124" t="s">
        <v>35</v>
      </c>
      <c r="O124" s="15">
        <v>27000</v>
      </c>
      <c r="P124" s="38">
        <v>19624</v>
      </c>
      <c r="Q124" s="45">
        <f>P124/O124</f>
        <v>0.7268148148148148</v>
      </c>
    </row>
    <row r="125" spans="1:21" ht="14.5" x14ac:dyDescent="0.35">
      <c r="A125" t="s">
        <v>49</v>
      </c>
      <c r="B125" t="s">
        <v>50</v>
      </c>
      <c r="D125" t="s">
        <v>51</v>
      </c>
      <c r="E125" t="s">
        <v>363</v>
      </c>
      <c r="F125" s="4">
        <v>46250</v>
      </c>
      <c r="G125" t="s">
        <v>364</v>
      </c>
      <c r="H125" t="s">
        <v>21</v>
      </c>
      <c r="I125" t="s">
        <v>22</v>
      </c>
      <c r="K125">
        <f>4096+6468</f>
        <v>10564</v>
      </c>
      <c r="L125">
        <f>1871+1288</f>
        <v>3159</v>
      </c>
      <c r="M125">
        <f>3715+1899</f>
        <v>5614</v>
      </c>
      <c r="O125" s="30"/>
      <c r="P125" s="40">
        <f>1871+1288+3715+1899+4096+6468+5+9</f>
        <v>19351</v>
      </c>
      <c r="Q125" s="45" t="e">
        <f>P125/O125</f>
        <v>#DIV/0!</v>
      </c>
      <c r="R125" s="30"/>
      <c r="S125" s="30"/>
    </row>
    <row r="126" spans="1:21" ht="14.5" x14ac:dyDescent="0.35">
      <c r="A126" t="s">
        <v>30</v>
      </c>
      <c r="B126" t="s">
        <v>31</v>
      </c>
      <c r="D126" t="s">
        <v>365</v>
      </c>
      <c r="E126" t="s">
        <v>366</v>
      </c>
      <c r="F126" s="4">
        <v>46124</v>
      </c>
      <c r="G126" t="s">
        <v>367</v>
      </c>
      <c r="I126" t="s">
        <v>22</v>
      </c>
      <c r="L126" t="s">
        <v>35</v>
      </c>
      <c r="O126" s="30">
        <v>25000</v>
      </c>
      <c r="P126" s="40">
        <v>19327</v>
      </c>
      <c r="Q126" s="45">
        <f>P126/O126</f>
        <v>0.77307999999999999</v>
      </c>
      <c r="R126" s="30"/>
      <c r="S126" s="30"/>
      <c r="T126">
        <v>1978</v>
      </c>
    </row>
    <row r="127" spans="1:21" ht="14.5" x14ac:dyDescent="0.35">
      <c r="A127" t="s">
        <v>30</v>
      </c>
      <c r="B127" t="s">
        <v>31</v>
      </c>
      <c r="D127" t="s">
        <v>368</v>
      </c>
      <c r="E127" t="s">
        <v>369</v>
      </c>
      <c r="F127" s="4">
        <v>46159</v>
      </c>
      <c r="G127" t="s">
        <v>113</v>
      </c>
      <c r="H127" t="s">
        <v>48</v>
      </c>
      <c r="I127" t="s">
        <v>232</v>
      </c>
      <c r="N127" t="s">
        <v>370</v>
      </c>
      <c r="O127" s="15">
        <v>25000</v>
      </c>
      <c r="P127" s="38">
        <f>16857+2378</f>
        <v>19235</v>
      </c>
      <c r="Q127" s="45">
        <f>P127/O127</f>
        <v>0.76939999999999997</v>
      </c>
    </row>
    <row r="128" spans="1:21" ht="14.5" x14ac:dyDescent="0.35">
      <c r="A128" t="s">
        <v>66</v>
      </c>
      <c r="B128" t="s">
        <v>40</v>
      </c>
      <c r="D128" t="s">
        <v>371</v>
      </c>
      <c r="E128" t="s">
        <v>372</v>
      </c>
      <c r="F128" s="4">
        <v>46306</v>
      </c>
      <c r="G128" t="s">
        <v>373</v>
      </c>
      <c r="H128" t="s">
        <v>48</v>
      </c>
      <c r="I128" t="s">
        <v>22</v>
      </c>
      <c r="J128">
        <f>4019+1177</f>
        <v>5196</v>
      </c>
      <c r="K128">
        <f>4613+6139</f>
        <v>10752</v>
      </c>
      <c r="L128">
        <f>1600+1675</f>
        <v>3275</v>
      </c>
      <c r="O128" s="15">
        <v>25000</v>
      </c>
      <c r="P128" s="38">
        <f>SUM(J128:L128)</f>
        <v>19223</v>
      </c>
      <c r="Q128" s="45">
        <f>P128/O128</f>
        <v>0.76892000000000005</v>
      </c>
      <c r="U128" t="s">
        <v>374</v>
      </c>
    </row>
    <row r="129" spans="1:21" ht="14.5" x14ac:dyDescent="0.35">
      <c r="A129" t="s">
        <v>124</v>
      </c>
      <c r="B129" t="s">
        <v>40</v>
      </c>
      <c r="D129" t="s">
        <v>375</v>
      </c>
      <c r="E129" t="s">
        <v>376</v>
      </c>
      <c r="F129" s="4"/>
      <c r="G129" t="s">
        <v>377</v>
      </c>
      <c r="H129" t="s">
        <v>21</v>
      </c>
      <c r="I129" t="s">
        <v>22</v>
      </c>
      <c r="N129">
        <v>8.5</v>
      </c>
      <c r="O129" s="15">
        <v>23000</v>
      </c>
      <c r="P129" s="38">
        <f>O129-O129*0.17</f>
        <v>19090</v>
      </c>
      <c r="Q129" s="45">
        <f>P129/O129</f>
        <v>0.83</v>
      </c>
      <c r="T129">
        <v>2015</v>
      </c>
      <c r="U129" t="s">
        <v>378</v>
      </c>
    </row>
    <row r="130" spans="1:21" ht="14.5" x14ac:dyDescent="0.35">
      <c r="A130" s="34" t="s">
        <v>44</v>
      </c>
      <c r="B130" s="34" t="s">
        <v>40</v>
      </c>
      <c r="C130" s="34" t="s">
        <v>2318</v>
      </c>
      <c r="D130" s="34" t="s">
        <v>45</v>
      </c>
      <c r="E130" s="34" t="s">
        <v>379</v>
      </c>
      <c r="F130" s="35">
        <v>46054</v>
      </c>
      <c r="G130" s="34" t="s">
        <v>380</v>
      </c>
      <c r="H130" s="34" t="s">
        <v>1775</v>
      </c>
      <c r="I130" s="34" t="s">
        <v>22</v>
      </c>
      <c r="J130" s="36"/>
      <c r="K130" s="36"/>
      <c r="L130" s="36">
        <v>18000</v>
      </c>
      <c r="M130" s="36"/>
      <c r="N130" s="34"/>
      <c r="O130" s="36">
        <v>18000</v>
      </c>
      <c r="P130" s="36">
        <v>19074</v>
      </c>
      <c r="Q130" s="45">
        <f>P130/O130</f>
        <v>1.0596666666666668</v>
      </c>
      <c r="R130" s="38">
        <v>20000</v>
      </c>
      <c r="S130" s="39"/>
      <c r="T130" s="34"/>
      <c r="U130" s="34"/>
    </row>
    <row r="131" spans="1:21" ht="14.5" x14ac:dyDescent="0.35">
      <c r="A131" t="s">
        <v>181</v>
      </c>
      <c r="B131" t="s">
        <v>40</v>
      </c>
      <c r="D131" t="s">
        <v>192</v>
      </c>
      <c r="E131" t="s">
        <v>381</v>
      </c>
      <c r="F131" s="4">
        <v>46299</v>
      </c>
      <c r="G131" t="s">
        <v>382</v>
      </c>
      <c r="H131" t="s">
        <v>21</v>
      </c>
      <c r="I131" t="s">
        <v>22</v>
      </c>
      <c r="O131" s="15">
        <v>25000</v>
      </c>
      <c r="P131" s="38">
        <v>19003</v>
      </c>
      <c r="Q131" s="45">
        <f>P131/O131</f>
        <v>0.76012000000000002</v>
      </c>
    </row>
    <row r="132" spans="1:21" ht="14.5" x14ac:dyDescent="0.35">
      <c r="A132" t="s">
        <v>85</v>
      </c>
      <c r="B132" t="s">
        <v>40</v>
      </c>
      <c r="D132" t="s">
        <v>383</v>
      </c>
      <c r="E132" t="s">
        <v>384</v>
      </c>
      <c r="F132" s="4">
        <v>46173</v>
      </c>
      <c r="G132" t="s">
        <v>385</v>
      </c>
      <c r="H132" t="s">
        <v>21</v>
      </c>
      <c r="I132" t="s">
        <v>22</v>
      </c>
      <c r="J132" t="s">
        <v>35</v>
      </c>
      <c r="O132" s="15">
        <v>20000</v>
      </c>
      <c r="P132" s="38">
        <f>13466+5396+5+14</f>
        <v>18881</v>
      </c>
      <c r="Q132" s="45">
        <f>P132/O132</f>
        <v>0.94404999999999994</v>
      </c>
    </row>
    <row r="133" spans="1:21" ht="14.5" x14ac:dyDescent="0.35">
      <c r="A133" t="s">
        <v>30</v>
      </c>
      <c r="B133" t="s">
        <v>31</v>
      </c>
      <c r="D133" t="s">
        <v>143</v>
      </c>
      <c r="E133" t="s">
        <v>386</v>
      </c>
      <c r="F133" s="4">
        <v>46340</v>
      </c>
      <c r="I133" t="s">
        <v>22</v>
      </c>
      <c r="K133" t="s">
        <v>35</v>
      </c>
      <c r="M133" t="s">
        <v>35</v>
      </c>
      <c r="N133" t="s">
        <v>123</v>
      </c>
      <c r="O133" s="15">
        <v>30000</v>
      </c>
      <c r="P133" s="38">
        <v>18841</v>
      </c>
      <c r="Q133" s="45">
        <f>P133/O133</f>
        <v>0.62803333333333333</v>
      </c>
    </row>
    <row r="134" spans="1:21" ht="14.5" x14ac:dyDescent="0.35">
      <c r="A134" t="s">
        <v>30</v>
      </c>
      <c r="B134" t="s">
        <v>31</v>
      </c>
      <c r="D134" t="s">
        <v>175</v>
      </c>
      <c r="E134" t="s">
        <v>2229</v>
      </c>
      <c r="F134" s="4">
        <v>46306</v>
      </c>
      <c r="I134" t="s">
        <v>22</v>
      </c>
      <c r="P134" s="38">
        <v>18795</v>
      </c>
      <c r="Q134" s="45" t="e">
        <f>P134/O134</f>
        <v>#DIV/0!</v>
      </c>
      <c r="U134" t="s">
        <v>2230</v>
      </c>
    </row>
    <row r="135" spans="1:21" ht="14.5" x14ac:dyDescent="0.35">
      <c r="A135" s="34" t="s">
        <v>44</v>
      </c>
      <c r="B135" s="34" t="s">
        <v>40</v>
      </c>
      <c r="C135" s="34" t="s">
        <v>2318</v>
      </c>
      <c r="D135" s="34" t="s">
        <v>45</v>
      </c>
      <c r="E135" s="34" t="s">
        <v>2321</v>
      </c>
      <c r="F135" s="35">
        <v>46363</v>
      </c>
      <c r="G135" s="34" t="s">
        <v>380</v>
      </c>
      <c r="H135" s="34" t="s">
        <v>1775</v>
      </c>
      <c r="I135" s="34" t="s">
        <v>22</v>
      </c>
      <c r="J135" s="36"/>
      <c r="K135" s="36"/>
      <c r="L135" s="36">
        <v>20000</v>
      </c>
      <c r="M135" s="36"/>
      <c r="N135" s="34"/>
      <c r="O135" s="36">
        <v>20000</v>
      </c>
      <c r="P135" s="36">
        <v>18776</v>
      </c>
      <c r="Q135" s="45">
        <f>P135/O135</f>
        <v>0.93879999999999997</v>
      </c>
      <c r="R135" s="36"/>
      <c r="S135" s="37"/>
      <c r="T135" s="34"/>
      <c r="U135" s="34"/>
    </row>
    <row r="136" spans="1:21" ht="14.5" x14ac:dyDescent="0.35">
      <c r="A136" t="s">
        <v>63</v>
      </c>
      <c r="B136" t="s">
        <v>40</v>
      </c>
      <c r="D136" t="s">
        <v>387</v>
      </c>
      <c r="E136" t="s">
        <v>388</v>
      </c>
      <c r="F136" s="4">
        <v>46138</v>
      </c>
      <c r="G136" t="s">
        <v>38</v>
      </c>
      <c r="H136" t="s">
        <v>21</v>
      </c>
      <c r="I136" t="s">
        <v>22</v>
      </c>
      <c r="L136" t="s">
        <v>35</v>
      </c>
      <c r="M136" t="s">
        <v>35</v>
      </c>
      <c r="N136" t="s">
        <v>311</v>
      </c>
      <c r="O136" s="15">
        <v>30000</v>
      </c>
      <c r="P136" s="38">
        <f>2252+5033+5047+4690+1032+700</f>
        <v>18754</v>
      </c>
      <c r="Q136" s="45">
        <f>P136/O136</f>
        <v>0.62513333333333332</v>
      </c>
      <c r="U136" t="s">
        <v>389</v>
      </c>
    </row>
    <row r="137" spans="1:21" ht="14.5" x14ac:dyDescent="0.35">
      <c r="A137" t="s">
        <v>24</v>
      </c>
      <c r="B137" t="s">
        <v>25</v>
      </c>
      <c r="D137" t="s">
        <v>102</v>
      </c>
      <c r="E137" t="s">
        <v>103</v>
      </c>
      <c r="F137" s="4">
        <v>46286</v>
      </c>
      <c r="G137" t="s">
        <v>28</v>
      </c>
      <c r="H137" t="s">
        <v>21</v>
      </c>
      <c r="I137" t="s">
        <v>22</v>
      </c>
      <c r="K137">
        <f>11410+61</f>
        <v>11471</v>
      </c>
      <c r="L137">
        <f>7119</f>
        <v>7119</v>
      </c>
      <c r="N137" t="s">
        <v>104</v>
      </c>
      <c r="O137" s="30">
        <v>40000</v>
      </c>
      <c r="P137" s="40">
        <f>SUM(K137:L137)</f>
        <v>18590</v>
      </c>
      <c r="Q137" s="45">
        <f>P137/O137</f>
        <v>0.46475</v>
      </c>
      <c r="R137" s="30"/>
      <c r="S137" s="30"/>
    </row>
    <row r="138" spans="1:21" ht="14.5" x14ac:dyDescent="0.35">
      <c r="A138" t="s">
        <v>181</v>
      </c>
      <c r="B138" t="s">
        <v>40</v>
      </c>
      <c r="D138" t="s">
        <v>182</v>
      </c>
      <c r="E138" t="s">
        <v>390</v>
      </c>
      <c r="F138" s="4">
        <v>46313</v>
      </c>
      <c r="G138" t="s">
        <v>194</v>
      </c>
      <c r="H138" t="s">
        <v>48</v>
      </c>
      <c r="I138" t="s">
        <v>22</v>
      </c>
      <c r="K138" t="s">
        <v>35</v>
      </c>
      <c r="O138" s="15">
        <v>22000</v>
      </c>
      <c r="P138" s="50">
        <v>18564</v>
      </c>
      <c r="Q138" s="45">
        <f>P138/O138</f>
        <v>0.8438181818181818</v>
      </c>
      <c r="R138" s="31"/>
      <c r="S138" s="31"/>
      <c r="T138">
        <v>1982</v>
      </c>
      <c r="U138" t="s">
        <v>391</v>
      </c>
    </row>
    <row r="139" spans="1:21" ht="14.5" x14ac:dyDescent="0.35">
      <c r="A139" t="s">
        <v>24</v>
      </c>
      <c r="B139" t="s">
        <v>25</v>
      </c>
      <c r="D139" t="s">
        <v>102</v>
      </c>
      <c r="E139" t="s">
        <v>392</v>
      </c>
      <c r="F139" s="4">
        <v>46313</v>
      </c>
      <c r="G139" t="s">
        <v>28</v>
      </c>
      <c r="H139" t="s">
        <v>21</v>
      </c>
      <c r="I139" t="s">
        <v>22</v>
      </c>
      <c r="K139" t="s">
        <v>35</v>
      </c>
      <c r="L139" t="s">
        <v>35</v>
      </c>
      <c r="O139" s="30">
        <v>40000</v>
      </c>
      <c r="P139" s="40">
        <f>11410+7119</f>
        <v>18529</v>
      </c>
      <c r="Q139" s="45">
        <f>P139/O139</f>
        <v>0.463225</v>
      </c>
      <c r="R139" s="30"/>
      <c r="S139" s="30"/>
    </row>
    <row r="140" spans="1:21" ht="14.5" x14ac:dyDescent="0.35">
      <c r="A140" t="s">
        <v>266</v>
      </c>
      <c r="B140" t="s">
        <v>40</v>
      </c>
      <c r="D140" t="s">
        <v>267</v>
      </c>
      <c r="E140" t="s">
        <v>393</v>
      </c>
      <c r="F140" s="4">
        <v>46320</v>
      </c>
      <c r="G140" t="s">
        <v>394</v>
      </c>
      <c r="H140" t="s">
        <v>21</v>
      </c>
      <c r="I140" t="s">
        <v>22</v>
      </c>
      <c r="J140" t="s">
        <v>35</v>
      </c>
      <c r="L140" t="s">
        <v>35</v>
      </c>
      <c r="O140" s="15">
        <v>22000</v>
      </c>
      <c r="P140" s="38">
        <v>18486</v>
      </c>
      <c r="Q140" s="45">
        <f>P140/O140</f>
        <v>0.84027272727272728</v>
      </c>
    </row>
    <row r="141" spans="1:21" ht="14.5" x14ac:dyDescent="0.35">
      <c r="A141" t="s">
        <v>30</v>
      </c>
      <c r="B141" t="s">
        <v>31</v>
      </c>
      <c r="D141" t="s">
        <v>2231</v>
      </c>
      <c r="E141" t="s">
        <v>2230</v>
      </c>
      <c r="G141" t="s">
        <v>38</v>
      </c>
      <c r="I141" t="s">
        <v>22</v>
      </c>
      <c r="J141" t="s">
        <v>35</v>
      </c>
      <c r="K141" t="s">
        <v>35</v>
      </c>
      <c r="M141" t="s">
        <v>35</v>
      </c>
      <c r="P141" s="38">
        <v>18354</v>
      </c>
      <c r="Q141" s="45" t="e">
        <f>P141/O141</f>
        <v>#DIV/0!</v>
      </c>
      <c r="U141" t="s">
        <v>2232</v>
      </c>
    </row>
    <row r="142" spans="1:21" ht="14.5" x14ac:dyDescent="0.35">
      <c r="A142" t="s">
        <v>39</v>
      </c>
      <c r="B142" t="s">
        <v>40</v>
      </c>
      <c r="D142" t="s">
        <v>259</v>
      </c>
      <c r="E142" t="s">
        <v>395</v>
      </c>
      <c r="F142" s="4">
        <v>46299</v>
      </c>
      <c r="G142" t="s">
        <v>47</v>
      </c>
      <c r="H142" t="s">
        <v>21</v>
      </c>
      <c r="I142" t="s">
        <v>22</v>
      </c>
      <c r="K142" t="s">
        <v>35</v>
      </c>
      <c r="O142" s="15">
        <v>28000</v>
      </c>
      <c r="P142" s="38">
        <v>18268</v>
      </c>
      <c r="Q142" s="45">
        <f>P142/O142</f>
        <v>0.65242857142857147</v>
      </c>
    </row>
    <row r="143" spans="1:21" ht="14.5" x14ac:dyDescent="0.35">
      <c r="A143" t="s">
        <v>30</v>
      </c>
      <c r="B143" t="s">
        <v>31</v>
      </c>
      <c r="D143" s="4" t="s">
        <v>396</v>
      </c>
      <c r="E143" t="s">
        <v>397</v>
      </c>
      <c r="F143" s="4">
        <v>46130</v>
      </c>
      <c r="G143" t="s">
        <v>398</v>
      </c>
      <c r="I143" t="s">
        <v>22</v>
      </c>
      <c r="L143" t="s">
        <v>35</v>
      </c>
      <c r="O143" s="30">
        <v>25000</v>
      </c>
      <c r="P143" s="40">
        <v>18157</v>
      </c>
      <c r="Q143" s="45">
        <f>P143/O143</f>
        <v>0.72628000000000004</v>
      </c>
      <c r="R143" s="30"/>
      <c r="S143" s="30"/>
      <c r="T143">
        <v>2000</v>
      </c>
    </row>
    <row r="144" spans="1:21" ht="14.5" x14ac:dyDescent="0.35">
      <c r="A144" t="s">
        <v>63</v>
      </c>
      <c r="B144" t="s">
        <v>40</v>
      </c>
      <c r="D144" t="s">
        <v>64</v>
      </c>
      <c r="E144" t="s">
        <v>399</v>
      </c>
      <c r="F144" s="4">
        <v>46152</v>
      </c>
      <c r="G144" t="s">
        <v>400</v>
      </c>
      <c r="H144" t="s">
        <v>48</v>
      </c>
      <c r="I144" t="s">
        <v>22</v>
      </c>
      <c r="J144">
        <v>4252</v>
      </c>
      <c r="K144">
        <v>6972</v>
      </c>
      <c r="L144">
        <v>4215</v>
      </c>
      <c r="M144">
        <v>1243</v>
      </c>
      <c r="O144" s="15">
        <v>25000</v>
      </c>
      <c r="P144" s="38">
        <f>4252+6972+4215+1243+331*4+6</f>
        <v>18012</v>
      </c>
      <c r="Q144" s="45">
        <f>P144/O144</f>
        <v>0.72048000000000001</v>
      </c>
    </row>
    <row r="145" spans="1:21" ht="14.5" x14ac:dyDescent="0.35">
      <c r="A145" t="s">
        <v>30</v>
      </c>
      <c r="B145" t="s">
        <v>31</v>
      </c>
      <c r="D145" t="s">
        <v>2233</v>
      </c>
      <c r="E145" t="s">
        <v>2234</v>
      </c>
      <c r="F145" s="4">
        <v>46074</v>
      </c>
      <c r="G145" t="s">
        <v>38</v>
      </c>
      <c r="H145" t="s">
        <v>21</v>
      </c>
      <c r="I145" t="s">
        <v>22</v>
      </c>
      <c r="M145" t="s">
        <v>35</v>
      </c>
      <c r="N145" t="s">
        <v>2235</v>
      </c>
      <c r="P145" s="38">
        <v>17790</v>
      </c>
      <c r="Q145" s="45" t="e">
        <f>P145/O145</f>
        <v>#DIV/0!</v>
      </c>
    </row>
    <row r="146" spans="1:21" ht="14.5" x14ac:dyDescent="0.35">
      <c r="A146" t="s">
        <v>581</v>
      </c>
      <c r="B146" t="s">
        <v>40</v>
      </c>
      <c r="D146" t="s">
        <v>582</v>
      </c>
      <c r="E146" t="s">
        <v>1961</v>
      </c>
      <c r="F146" s="4">
        <v>46089</v>
      </c>
      <c r="G146" t="s">
        <v>584</v>
      </c>
      <c r="I146" t="s">
        <v>22</v>
      </c>
      <c r="K146" t="s">
        <v>35</v>
      </c>
      <c r="P146" s="38">
        <f>50+17624</f>
        <v>17674</v>
      </c>
      <c r="Q146" s="45" t="e">
        <f>P146/O146</f>
        <v>#DIV/0!</v>
      </c>
    </row>
    <row r="147" spans="1:21" ht="14.5" x14ac:dyDescent="0.35">
      <c r="A147" t="s">
        <v>30</v>
      </c>
      <c r="B147" t="s">
        <v>31</v>
      </c>
      <c r="D147" t="s">
        <v>401</v>
      </c>
      <c r="E147" t="s">
        <v>402</v>
      </c>
      <c r="F147" s="4">
        <v>46144</v>
      </c>
      <c r="G147" t="s">
        <v>403</v>
      </c>
      <c r="H147" t="s">
        <v>21</v>
      </c>
      <c r="I147" t="s">
        <v>22</v>
      </c>
      <c r="K147">
        <v>17593</v>
      </c>
      <c r="M147">
        <v>51</v>
      </c>
      <c r="O147" s="30">
        <v>20000</v>
      </c>
      <c r="P147" s="40">
        <f>SUM(K147:N147)</f>
        <v>17644</v>
      </c>
      <c r="Q147" s="45">
        <f>P147/O147</f>
        <v>0.88219999999999998</v>
      </c>
      <c r="R147" s="30"/>
      <c r="S147" s="30"/>
    </row>
    <row r="148" spans="1:21" ht="14.5" x14ac:dyDescent="0.35">
      <c r="A148" t="s">
        <v>66</v>
      </c>
      <c r="B148" t="s">
        <v>40</v>
      </c>
      <c r="D148" t="s">
        <v>404</v>
      </c>
      <c r="E148" t="s">
        <v>405</v>
      </c>
      <c r="F148" s="4">
        <v>46124</v>
      </c>
      <c r="G148" t="s">
        <v>406</v>
      </c>
      <c r="H148" t="s">
        <v>21</v>
      </c>
      <c r="I148" t="s">
        <v>22</v>
      </c>
      <c r="J148" t="s">
        <v>35</v>
      </c>
      <c r="K148" t="s">
        <v>35</v>
      </c>
      <c r="L148" t="s">
        <v>35</v>
      </c>
      <c r="O148" s="15">
        <v>29000</v>
      </c>
      <c r="P148" s="38">
        <f>2609+742+4083+6139+1553+1616+59+786</f>
        <v>17587</v>
      </c>
      <c r="Q148" s="45">
        <f>P148/O148</f>
        <v>0.60644827586206895</v>
      </c>
    </row>
    <row r="149" spans="1:21" ht="14.5" x14ac:dyDescent="0.35">
      <c r="A149" s="26" t="s">
        <v>30</v>
      </c>
      <c r="B149" s="26" t="s">
        <v>31</v>
      </c>
      <c r="C149" s="26"/>
      <c r="D149" s="26" t="s">
        <v>2236</v>
      </c>
      <c r="E149" s="26" t="s">
        <v>2237</v>
      </c>
      <c r="F149" s="26"/>
      <c r="H149" s="26"/>
      <c r="I149" s="26" t="s">
        <v>718</v>
      </c>
      <c r="J149" s="26" t="s">
        <v>35</v>
      </c>
      <c r="K149" s="26"/>
      <c r="L149" s="26"/>
      <c r="M149" s="26"/>
      <c r="N149" s="26"/>
      <c r="O149" s="32"/>
      <c r="P149" s="49">
        <v>17497</v>
      </c>
      <c r="Q149" s="45" t="e">
        <f>P149/O149</f>
        <v>#DIV/0!</v>
      </c>
      <c r="R149" s="32"/>
      <c r="S149" s="32"/>
    </row>
    <row r="150" spans="1:21" ht="14.5" x14ac:dyDescent="0.35">
      <c r="A150" t="s">
        <v>407</v>
      </c>
      <c r="B150" t="s">
        <v>25</v>
      </c>
      <c r="D150" t="s">
        <v>408</v>
      </c>
      <c r="E150" t="s">
        <v>409</v>
      </c>
      <c r="F150" s="4">
        <v>46185</v>
      </c>
      <c r="G150" t="s">
        <v>410</v>
      </c>
      <c r="H150" t="s">
        <v>21</v>
      </c>
      <c r="I150" t="s">
        <v>22</v>
      </c>
      <c r="J150">
        <v>2827</v>
      </c>
      <c r="K150">
        <v>6801</v>
      </c>
      <c r="L150">
        <v>4754</v>
      </c>
      <c r="M150">
        <v>3196</v>
      </c>
      <c r="O150" s="30">
        <v>19000</v>
      </c>
      <c r="P150" s="38">
        <f>2827+6601+4754+3196</f>
        <v>17378</v>
      </c>
      <c r="Q150" s="45">
        <f>P150/O150</f>
        <v>0.91463157894736846</v>
      </c>
    </row>
    <row r="151" spans="1:21" ht="13" customHeight="1" x14ac:dyDescent="0.35">
      <c r="A151" t="s">
        <v>110</v>
      </c>
      <c r="B151" t="s">
        <v>31</v>
      </c>
      <c r="D151" t="s">
        <v>2130</v>
      </c>
      <c r="E151" t="s">
        <v>2133</v>
      </c>
      <c r="F151" s="4">
        <v>46145</v>
      </c>
      <c r="G151" t="s">
        <v>2134</v>
      </c>
      <c r="I151" t="s">
        <v>22</v>
      </c>
      <c r="J151">
        <v>3008</v>
      </c>
      <c r="K151">
        <v>8824</v>
      </c>
      <c r="L151">
        <v>3050</v>
      </c>
      <c r="M151">
        <v>2430</v>
      </c>
      <c r="P151" s="38">
        <f>SUM(J151:M151)</f>
        <v>17312</v>
      </c>
      <c r="Q151" s="45" t="e">
        <f>P151/O151</f>
        <v>#DIV/0!</v>
      </c>
    </row>
    <row r="152" spans="1:21" ht="14.5" x14ac:dyDescent="0.35">
      <c r="A152" t="s">
        <v>30</v>
      </c>
      <c r="B152" t="s">
        <v>31</v>
      </c>
      <c r="D152" t="s">
        <v>411</v>
      </c>
      <c r="E152" t="s">
        <v>412</v>
      </c>
      <c r="F152" s="4">
        <v>46173</v>
      </c>
      <c r="G152" t="s">
        <v>20</v>
      </c>
      <c r="H152" t="s">
        <v>21</v>
      </c>
      <c r="I152" t="s">
        <v>22</v>
      </c>
      <c r="J152" t="s">
        <v>35</v>
      </c>
      <c r="K152" t="s">
        <v>35</v>
      </c>
      <c r="M152" t="s">
        <v>35</v>
      </c>
      <c r="O152" s="30">
        <v>17000</v>
      </c>
      <c r="P152" s="40">
        <v>17235</v>
      </c>
      <c r="Q152" s="45">
        <f>P152/O152</f>
        <v>1.0138235294117648</v>
      </c>
      <c r="R152" s="30"/>
      <c r="S152" s="30"/>
      <c r="U152" t="s">
        <v>413</v>
      </c>
    </row>
    <row r="153" spans="1:21" ht="14.5" x14ac:dyDescent="0.35">
      <c r="A153" t="s">
        <v>39</v>
      </c>
      <c r="B153" t="s">
        <v>40</v>
      </c>
      <c r="D153" t="s">
        <v>41</v>
      </c>
      <c r="E153" t="s">
        <v>414</v>
      </c>
      <c r="F153" s="4">
        <v>46271</v>
      </c>
      <c r="G153" t="s">
        <v>43</v>
      </c>
      <c r="H153" t="s">
        <v>21</v>
      </c>
      <c r="I153" t="s">
        <v>22</v>
      </c>
      <c r="K153" t="s">
        <v>35</v>
      </c>
      <c r="O153" s="15">
        <v>25000</v>
      </c>
      <c r="P153" s="38">
        <v>17223</v>
      </c>
      <c r="Q153" s="45">
        <f>P153/O153</f>
        <v>0.68891999999999998</v>
      </c>
    </row>
    <row r="154" spans="1:21" s="1" customFormat="1" ht="14.5" x14ac:dyDescent="0.35">
      <c r="A154" t="s">
        <v>30</v>
      </c>
      <c r="B154" t="s">
        <v>31</v>
      </c>
      <c r="C154"/>
      <c r="D154" t="s">
        <v>396</v>
      </c>
      <c r="E154" t="s">
        <v>415</v>
      </c>
      <c r="F154" s="4">
        <v>46340</v>
      </c>
      <c r="G154" t="s">
        <v>398</v>
      </c>
      <c r="H154"/>
      <c r="I154" t="s">
        <v>22</v>
      </c>
      <c r="J154" t="s">
        <v>35</v>
      </c>
      <c r="K154" t="s">
        <v>35</v>
      </c>
      <c r="L154"/>
      <c r="M154"/>
      <c r="N154">
        <v>8</v>
      </c>
      <c r="O154" s="15">
        <v>21200</v>
      </c>
      <c r="P154" s="38">
        <f>4950+8419+3836</f>
        <v>17205</v>
      </c>
      <c r="Q154" s="45">
        <f>P154/O154</f>
        <v>0.81155660377358485</v>
      </c>
      <c r="R154" s="15"/>
      <c r="S154" s="15"/>
      <c r="T154"/>
      <c r="U154"/>
    </row>
    <row r="155" spans="1:21" ht="14.5" x14ac:dyDescent="0.35">
      <c r="A155" t="s">
        <v>39</v>
      </c>
      <c r="B155" t="s">
        <v>40</v>
      </c>
      <c r="D155" t="s">
        <v>41</v>
      </c>
      <c r="E155" t="s">
        <v>416</v>
      </c>
      <c r="F155" s="4">
        <v>46215</v>
      </c>
      <c r="G155" t="s">
        <v>43</v>
      </c>
      <c r="H155" t="s">
        <v>21</v>
      </c>
      <c r="I155" t="s">
        <v>22</v>
      </c>
      <c r="K155" t="s">
        <v>35</v>
      </c>
      <c r="O155" s="15">
        <v>20000</v>
      </c>
      <c r="P155" s="38">
        <f>8665+8489</f>
        <v>17154</v>
      </c>
      <c r="Q155" s="45">
        <f>P155/O155</f>
        <v>0.85770000000000002</v>
      </c>
    </row>
    <row r="156" spans="1:21" ht="14.5" x14ac:dyDescent="0.35">
      <c r="A156" t="s">
        <v>98</v>
      </c>
      <c r="B156" t="s">
        <v>40</v>
      </c>
      <c r="D156" t="s">
        <v>417</v>
      </c>
      <c r="E156" t="s">
        <v>418</v>
      </c>
      <c r="F156" s="4">
        <v>46110</v>
      </c>
      <c r="G156" t="s">
        <v>130</v>
      </c>
      <c r="H156" t="s">
        <v>48</v>
      </c>
      <c r="I156" t="s">
        <v>22</v>
      </c>
      <c r="J156">
        <v>4487</v>
      </c>
      <c r="K156">
        <v>12627</v>
      </c>
      <c r="O156" s="15">
        <v>20000</v>
      </c>
      <c r="P156" s="38">
        <f>4487+12627</f>
        <v>17114</v>
      </c>
      <c r="Q156" s="45">
        <f>P156/O156</f>
        <v>0.85570000000000002</v>
      </c>
    </row>
    <row r="157" spans="1:21" ht="14.5" x14ac:dyDescent="0.35">
      <c r="A157" s="34" t="s">
        <v>44</v>
      </c>
      <c r="B157" s="34" t="s">
        <v>40</v>
      </c>
      <c r="C157" s="34" t="s">
        <v>2322</v>
      </c>
      <c r="D157" s="34" t="s">
        <v>1779</v>
      </c>
      <c r="E157" s="34" t="s">
        <v>1780</v>
      </c>
      <c r="F157" s="35">
        <v>46307</v>
      </c>
      <c r="G157" s="34" t="s">
        <v>165</v>
      </c>
      <c r="H157" s="34" t="s">
        <v>48</v>
      </c>
      <c r="I157" s="34" t="s">
        <v>22</v>
      </c>
      <c r="J157" s="36"/>
      <c r="K157" s="36" t="s">
        <v>333</v>
      </c>
      <c r="L157" s="36" t="s">
        <v>333</v>
      </c>
      <c r="M157" s="36" t="s">
        <v>333</v>
      </c>
      <c r="N157" s="34" t="s">
        <v>1781</v>
      </c>
      <c r="O157" s="36">
        <v>23000</v>
      </c>
      <c r="P157" s="36">
        <f>8522+7153+508+129*4+39+355</f>
        <v>17093</v>
      </c>
      <c r="Q157" s="45">
        <f>P157/O157</f>
        <v>0.74317391304347824</v>
      </c>
      <c r="R157" s="36"/>
      <c r="S157" s="37"/>
      <c r="T157" s="34"/>
      <c r="U157" s="34"/>
    </row>
    <row r="158" spans="1:21" ht="14.5" x14ac:dyDescent="0.35">
      <c r="A158" t="s">
        <v>30</v>
      </c>
      <c r="B158" t="s">
        <v>31</v>
      </c>
      <c r="D158" t="s">
        <v>419</v>
      </c>
      <c r="E158" t="s">
        <v>420</v>
      </c>
      <c r="F158" s="4">
        <v>46054</v>
      </c>
      <c r="G158" t="s">
        <v>113</v>
      </c>
      <c r="I158" t="s">
        <v>22</v>
      </c>
      <c r="K158" t="s">
        <v>35</v>
      </c>
      <c r="L158" t="s">
        <v>35</v>
      </c>
      <c r="M158" t="s">
        <v>35</v>
      </c>
      <c r="O158" s="15">
        <v>20000</v>
      </c>
      <c r="P158" s="38">
        <f>2032+10821+4179+10+26</f>
        <v>17068</v>
      </c>
      <c r="Q158" s="45">
        <f>P158/O158</f>
        <v>0.85340000000000005</v>
      </c>
    </row>
    <row r="159" spans="1:21" ht="14.5" x14ac:dyDescent="0.35">
      <c r="A159" t="s">
        <v>421</v>
      </c>
      <c r="B159" t="s">
        <v>201</v>
      </c>
      <c r="D159" t="s">
        <v>422</v>
      </c>
      <c r="E159" t="s">
        <v>423</v>
      </c>
      <c r="F159" s="4">
        <v>46369</v>
      </c>
      <c r="G159" t="s">
        <v>194</v>
      </c>
      <c r="H159" t="s">
        <v>48</v>
      </c>
      <c r="I159" t="s">
        <v>22</v>
      </c>
      <c r="J159">
        <f>1925+477</f>
        <v>2402</v>
      </c>
      <c r="L159">
        <f>3867+1921</f>
        <v>5788</v>
      </c>
      <c r="M159">
        <f>4770+3333</f>
        <v>8103</v>
      </c>
      <c r="N159" t="s">
        <v>424</v>
      </c>
      <c r="O159" s="30">
        <v>37000</v>
      </c>
      <c r="P159" s="40">
        <f>1925+477+1+147*3+38*3+102*2+3866+1921+4770+3333</f>
        <v>17052</v>
      </c>
      <c r="Q159" s="45">
        <f>P159/O159</f>
        <v>0.46086486486486489</v>
      </c>
      <c r="R159" s="30"/>
      <c r="S159" s="30"/>
      <c r="T159" s="7">
        <v>2018</v>
      </c>
    </row>
    <row r="160" spans="1:21" ht="14.5" x14ac:dyDescent="0.35">
      <c r="A160" s="34" t="s">
        <v>44</v>
      </c>
      <c r="B160" s="34" t="s">
        <v>40</v>
      </c>
      <c r="C160" s="34" t="s">
        <v>561</v>
      </c>
      <c r="D160" s="34" t="s">
        <v>1782</v>
      </c>
      <c r="E160" s="34" t="s">
        <v>1783</v>
      </c>
      <c r="F160" s="35">
        <v>46299</v>
      </c>
      <c r="G160" s="34" t="s">
        <v>1784</v>
      </c>
      <c r="H160" s="34" t="s">
        <v>1775</v>
      </c>
      <c r="I160" s="34" t="s">
        <v>1366</v>
      </c>
      <c r="J160" s="38"/>
      <c r="K160" s="38">
        <v>5000</v>
      </c>
      <c r="L160" s="38">
        <v>9000</v>
      </c>
      <c r="M160" s="38">
        <v>5000</v>
      </c>
      <c r="N160" s="34" t="s">
        <v>1366</v>
      </c>
      <c r="O160" s="36">
        <v>20000</v>
      </c>
      <c r="P160" s="36">
        <f>4722+8080+4057+77</f>
        <v>16936</v>
      </c>
      <c r="Q160" s="45">
        <f>P160/O160</f>
        <v>0.8468</v>
      </c>
      <c r="R160" s="38"/>
      <c r="S160" s="39"/>
      <c r="T160" s="34"/>
      <c r="U160" s="34"/>
    </row>
    <row r="161" spans="1:21" ht="14.5" x14ac:dyDescent="0.35">
      <c r="A161" t="s">
        <v>16</v>
      </c>
      <c r="B161" t="s">
        <v>17</v>
      </c>
      <c r="D161" t="s">
        <v>425</v>
      </c>
      <c r="E161" t="s">
        <v>426</v>
      </c>
      <c r="F161" s="4">
        <v>46285</v>
      </c>
      <c r="G161" t="s">
        <v>427</v>
      </c>
      <c r="H161" t="s">
        <v>21</v>
      </c>
      <c r="I161" t="s">
        <v>22</v>
      </c>
      <c r="K161">
        <f>20*94+1</f>
        <v>1881</v>
      </c>
      <c r="N161" t="s">
        <v>428</v>
      </c>
      <c r="P161" s="38">
        <f>K161+20*138+20*610</f>
        <v>16841</v>
      </c>
      <c r="Q161" s="45" t="e">
        <f>P161/O161</f>
        <v>#DIV/0!</v>
      </c>
    </row>
    <row r="162" spans="1:21" ht="14.5" x14ac:dyDescent="0.35">
      <c r="A162" t="s">
        <v>429</v>
      </c>
      <c r="B162" t="s">
        <v>40</v>
      </c>
      <c r="D162" t="s">
        <v>430</v>
      </c>
      <c r="E162" t="s">
        <v>431</v>
      </c>
      <c r="F162" s="4">
        <v>46313</v>
      </c>
      <c r="G162" t="s">
        <v>3</v>
      </c>
      <c r="H162" t="s">
        <v>21</v>
      </c>
      <c r="I162" t="s">
        <v>22</v>
      </c>
      <c r="J162">
        <f>2268+606</f>
        <v>2874</v>
      </c>
      <c r="K162">
        <f>4476+2968</f>
        <v>7444</v>
      </c>
      <c r="L162">
        <f>2997+3475</f>
        <v>6472</v>
      </c>
      <c r="O162" s="15">
        <v>29000</v>
      </c>
      <c r="P162" s="38">
        <f>SUM(J162:L162)</f>
        <v>16790</v>
      </c>
      <c r="Q162" s="45">
        <f>P162/O162</f>
        <v>0.57896551724137935</v>
      </c>
      <c r="T162">
        <v>1996</v>
      </c>
    </row>
    <row r="163" spans="1:21" ht="14.5" x14ac:dyDescent="0.35">
      <c r="A163" t="s">
        <v>124</v>
      </c>
      <c r="B163" t="s">
        <v>40</v>
      </c>
      <c r="D163" t="s">
        <v>432</v>
      </c>
      <c r="E163" t="s">
        <v>433</v>
      </c>
      <c r="F163" s="4">
        <v>46312</v>
      </c>
      <c r="G163" t="s">
        <v>434</v>
      </c>
      <c r="H163" t="s">
        <v>21</v>
      </c>
      <c r="I163" t="s">
        <v>22</v>
      </c>
      <c r="K163">
        <v>9418</v>
      </c>
      <c r="L163">
        <v>6868</v>
      </c>
      <c r="P163" s="38">
        <f>9918+6868</f>
        <v>16786</v>
      </c>
      <c r="Q163" s="45" t="e">
        <f>P163/O163</f>
        <v>#DIV/0!</v>
      </c>
    </row>
    <row r="164" spans="1:21" ht="14.5" x14ac:dyDescent="0.35">
      <c r="A164" t="s">
        <v>435</v>
      </c>
      <c r="B164" t="s">
        <v>40</v>
      </c>
      <c r="D164" t="s">
        <v>436</v>
      </c>
      <c r="E164" t="s">
        <v>437</v>
      </c>
      <c r="F164" s="4">
        <v>46271</v>
      </c>
      <c r="G164" t="s">
        <v>438</v>
      </c>
      <c r="H164" t="s">
        <v>48</v>
      </c>
      <c r="I164" t="s">
        <v>22</v>
      </c>
      <c r="K164">
        <v>11084</v>
      </c>
      <c r="L164">
        <v>2680</v>
      </c>
      <c r="N164" t="s">
        <v>439</v>
      </c>
      <c r="O164" s="15">
        <v>20000</v>
      </c>
      <c r="P164" s="38">
        <f>11084+2680+676*2+555*3</f>
        <v>16781</v>
      </c>
      <c r="Q164" s="45">
        <f>P164/O164</f>
        <v>0.83904999999999996</v>
      </c>
    </row>
    <row r="165" spans="1:21" ht="14.5" x14ac:dyDescent="0.35">
      <c r="A165" t="s">
        <v>124</v>
      </c>
      <c r="B165" t="s">
        <v>40</v>
      </c>
      <c r="D165" t="s">
        <v>375</v>
      </c>
      <c r="E165" t="s">
        <v>440</v>
      </c>
      <c r="F165" s="4">
        <v>46047</v>
      </c>
      <c r="G165" t="s">
        <v>441</v>
      </c>
      <c r="H165" t="s">
        <v>48</v>
      </c>
      <c r="I165" t="s">
        <v>22</v>
      </c>
      <c r="K165" t="s">
        <v>35</v>
      </c>
      <c r="O165" s="15">
        <v>20000</v>
      </c>
      <c r="P165" s="38">
        <v>16741</v>
      </c>
      <c r="Q165" s="45">
        <f>P165/O165</f>
        <v>0.83704999999999996</v>
      </c>
      <c r="U165" t="s">
        <v>442</v>
      </c>
    </row>
    <row r="166" spans="1:21" ht="14.5" x14ac:dyDescent="0.35">
      <c r="A166" t="s">
        <v>72</v>
      </c>
      <c r="B166" t="s">
        <v>40</v>
      </c>
      <c r="D166" t="s">
        <v>2099</v>
      </c>
      <c r="E166" t="s">
        <v>2100</v>
      </c>
      <c r="F166" s="4">
        <v>46116</v>
      </c>
      <c r="G166" t="s">
        <v>75</v>
      </c>
      <c r="I166" t="s">
        <v>1775</v>
      </c>
      <c r="K166">
        <f>159+4740</f>
        <v>4899</v>
      </c>
      <c r="L166">
        <f>6435</f>
        <v>6435</v>
      </c>
      <c r="M166">
        <v>5351</v>
      </c>
      <c r="O166" s="15">
        <v>20000</v>
      </c>
      <c r="P166" s="38">
        <f>SUM(K166:M166)</f>
        <v>16685</v>
      </c>
      <c r="Q166" s="45">
        <f>P166/O166</f>
        <v>0.83425000000000005</v>
      </c>
      <c r="U166" t="s">
        <v>2101</v>
      </c>
    </row>
    <row r="167" spans="1:21" ht="14.5" x14ac:dyDescent="0.35">
      <c r="A167" t="s">
        <v>131</v>
      </c>
      <c r="B167" t="s">
        <v>25</v>
      </c>
      <c r="D167" t="s">
        <v>443</v>
      </c>
      <c r="E167" t="s">
        <v>444</v>
      </c>
      <c r="F167" s="4">
        <v>46341</v>
      </c>
      <c r="G167" t="s">
        <v>38</v>
      </c>
      <c r="H167" t="s">
        <v>21</v>
      </c>
      <c r="I167" t="s">
        <v>22</v>
      </c>
      <c r="J167" t="s">
        <v>35</v>
      </c>
      <c r="O167" s="30">
        <v>20000</v>
      </c>
      <c r="P167" s="38">
        <f>O167-O167*0.17</f>
        <v>16600</v>
      </c>
      <c r="Q167" s="45">
        <f>P167/O167</f>
        <v>0.83</v>
      </c>
      <c r="T167">
        <v>2011</v>
      </c>
      <c r="U167" t="s">
        <v>445</v>
      </c>
    </row>
    <row r="168" spans="1:21" ht="14.5" x14ac:dyDescent="0.35">
      <c r="A168" t="s">
        <v>131</v>
      </c>
      <c r="B168" t="s">
        <v>25</v>
      </c>
      <c r="D168" t="s">
        <v>446</v>
      </c>
      <c r="E168" t="s">
        <v>447</v>
      </c>
      <c r="F168" s="4">
        <v>46264</v>
      </c>
      <c r="G168" t="s">
        <v>38</v>
      </c>
      <c r="H168" t="s">
        <v>21</v>
      </c>
      <c r="I168" t="s">
        <v>22</v>
      </c>
      <c r="J168" t="s">
        <v>35</v>
      </c>
      <c r="O168" s="30">
        <v>20000</v>
      </c>
      <c r="P168" s="38">
        <f>O168-O168*0.17</f>
        <v>16600</v>
      </c>
      <c r="Q168" s="45">
        <f>P168/O168</f>
        <v>0.83</v>
      </c>
      <c r="T168">
        <v>1987</v>
      </c>
      <c r="U168" t="s">
        <v>448</v>
      </c>
    </row>
    <row r="169" spans="1:21" ht="14.5" x14ac:dyDescent="0.35">
      <c r="A169" s="26" t="s">
        <v>30</v>
      </c>
      <c r="B169" s="26" t="s">
        <v>31</v>
      </c>
      <c r="C169" s="26"/>
      <c r="D169" s="26" t="s">
        <v>2238</v>
      </c>
      <c r="E169" s="26" t="s">
        <v>2239</v>
      </c>
      <c r="F169" s="26"/>
      <c r="G169" t="s">
        <v>38</v>
      </c>
      <c r="H169" s="26" t="s">
        <v>21</v>
      </c>
      <c r="I169" s="26" t="s">
        <v>22</v>
      </c>
      <c r="J169" s="26"/>
      <c r="K169" s="26"/>
      <c r="L169" s="26" t="s">
        <v>35</v>
      </c>
      <c r="M169" s="26"/>
      <c r="N169" s="26"/>
      <c r="O169" s="32"/>
      <c r="P169" s="49">
        <v>16486</v>
      </c>
      <c r="Q169" s="45" t="e">
        <f>P169/O169</f>
        <v>#DIV/0!</v>
      </c>
      <c r="R169" s="32"/>
      <c r="S169" s="32"/>
    </row>
    <row r="170" spans="1:21" ht="14.5" x14ac:dyDescent="0.35">
      <c r="A170" t="s">
        <v>241</v>
      </c>
      <c r="B170" t="s">
        <v>25</v>
      </c>
      <c r="D170" t="s">
        <v>241</v>
      </c>
      <c r="E170" t="s">
        <v>449</v>
      </c>
      <c r="F170" s="4">
        <v>46321</v>
      </c>
      <c r="G170" t="s">
        <v>3</v>
      </c>
      <c r="H170" t="s">
        <v>21</v>
      </c>
      <c r="I170" t="s">
        <v>22</v>
      </c>
      <c r="J170" t="s">
        <v>35</v>
      </c>
      <c r="K170" t="s">
        <v>35</v>
      </c>
      <c r="L170" t="s">
        <v>35</v>
      </c>
      <c r="O170" s="15">
        <f>4000+8500*2+3000</f>
        <v>24000</v>
      </c>
      <c r="P170" s="38">
        <f>2623+7145+6592</f>
        <v>16360</v>
      </c>
      <c r="Q170" s="45">
        <f>P170/O170</f>
        <v>0.68166666666666664</v>
      </c>
      <c r="U170" t="s">
        <v>450</v>
      </c>
    </row>
    <row r="171" spans="1:21" ht="14.5" x14ac:dyDescent="0.35">
      <c r="A171" s="34" t="s">
        <v>44</v>
      </c>
      <c r="B171" s="34" t="s">
        <v>40</v>
      </c>
      <c r="C171" s="34" t="s">
        <v>2323</v>
      </c>
      <c r="D171" s="34" t="s">
        <v>451</v>
      </c>
      <c r="E171" s="34" t="s">
        <v>452</v>
      </c>
      <c r="F171" s="35">
        <v>46334</v>
      </c>
      <c r="G171" s="34" t="s">
        <v>453</v>
      </c>
      <c r="H171" s="34" t="s">
        <v>1775</v>
      </c>
      <c r="I171" s="34" t="s">
        <v>22</v>
      </c>
      <c r="J171" s="36">
        <v>15000</v>
      </c>
      <c r="K171" s="36"/>
      <c r="L171" s="36"/>
      <c r="M171" s="36"/>
      <c r="N171" s="34" t="s">
        <v>454</v>
      </c>
      <c r="O171" s="36">
        <v>22000</v>
      </c>
      <c r="P171" s="36">
        <f>2220+10410+10+3+941*2+440*4</f>
        <v>16285</v>
      </c>
      <c r="Q171" s="45">
        <f>P171/O171</f>
        <v>0.74022727272727273</v>
      </c>
      <c r="R171" s="38"/>
      <c r="S171" s="39"/>
      <c r="T171" s="34"/>
      <c r="U171" s="34"/>
    </row>
    <row r="172" spans="1:21" ht="14.5" x14ac:dyDescent="0.35">
      <c r="A172" t="s">
        <v>39</v>
      </c>
      <c r="B172" t="s">
        <v>40</v>
      </c>
      <c r="D172" t="s">
        <v>41</v>
      </c>
      <c r="E172" t="s">
        <v>455</v>
      </c>
      <c r="F172" s="4">
        <v>46306</v>
      </c>
      <c r="G172" t="s">
        <v>43</v>
      </c>
      <c r="H172" t="s">
        <v>48</v>
      </c>
      <c r="I172" t="s">
        <v>270</v>
      </c>
      <c r="K172" t="s">
        <v>35</v>
      </c>
      <c r="O172" s="15">
        <v>16000</v>
      </c>
      <c r="P172" s="38">
        <f>7543+8577+33+48</f>
        <v>16201</v>
      </c>
      <c r="Q172" s="45">
        <f>P172/O172</f>
        <v>1.0125625</v>
      </c>
      <c r="T172">
        <v>2008</v>
      </c>
      <c r="U172" t="s">
        <v>456</v>
      </c>
    </row>
    <row r="173" spans="1:21" ht="14.5" x14ac:dyDescent="0.35">
      <c r="A173" t="s">
        <v>39</v>
      </c>
      <c r="B173" t="s">
        <v>40</v>
      </c>
      <c r="D173" t="s">
        <v>457</v>
      </c>
      <c r="E173" t="s">
        <v>458</v>
      </c>
      <c r="F173" s="4">
        <v>46124</v>
      </c>
      <c r="G173" t="s">
        <v>43</v>
      </c>
      <c r="H173" t="s">
        <v>21</v>
      </c>
      <c r="I173" t="s">
        <v>22</v>
      </c>
      <c r="J173" t="s">
        <v>35</v>
      </c>
      <c r="L173" t="s">
        <v>35</v>
      </c>
      <c r="O173" s="15">
        <v>20000</v>
      </c>
      <c r="P173" s="38">
        <f>8223+4327+32+19+1584+1959</f>
        <v>16144</v>
      </c>
      <c r="Q173" s="45">
        <f>P173/O173</f>
        <v>0.80720000000000003</v>
      </c>
      <c r="T173">
        <v>2010</v>
      </c>
    </row>
    <row r="174" spans="1:21" ht="14.5" x14ac:dyDescent="0.35">
      <c r="A174" t="s">
        <v>459</v>
      </c>
      <c r="B174" t="s">
        <v>25</v>
      </c>
      <c r="D174" t="s">
        <v>460</v>
      </c>
      <c r="E174" t="s">
        <v>461</v>
      </c>
      <c r="F174" s="4">
        <v>46223</v>
      </c>
      <c r="G174" t="s">
        <v>462</v>
      </c>
      <c r="I174" t="s">
        <v>22</v>
      </c>
      <c r="J174">
        <v>3034</v>
      </c>
      <c r="K174">
        <v>6969</v>
      </c>
      <c r="L174">
        <v>6052</v>
      </c>
      <c r="O174" s="15">
        <v>25000</v>
      </c>
      <c r="P174" s="38">
        <f>SUM(J174:L174)</f>
        <v>16055</v>
      </c>
      <c r="Q174" s="45">
        <f>P174/O174</f>
        <v>0.64219999999999999</v>
      </c>
    </row>
    <row r="175" spans="1:21" ht="14.5" x14ac:dyDescent="0.35">
      <c r="A175" s="34" t="s">
        <v>44</v>
      </c>
      <c r="B175" s="34" t="s">
        <v>40</v>
      </c>
      <c r="C175" s="34" t="s">
        <v>2324</v>
      </c>
      <c r="D175" s="34" t="s">
        <v>1799</v>
      </c>
      <c r="E175" s="34" t="s">
        <v>1800</v>
      </c>
      <c r="F175" s="35">
        <v>46341</v>
      </c>
      <c r="G175" s="34" t="s">
        <v>380</v>
      </c>
      <c r="H175" s="34" t="s">
        <v>48</v>
      </c>
      <c r="I175" s="34" t="s">
        <v>22</v>
      </c>
      <c r="J175" s="36">
        <v>3500</v>
      </c>
      <c r="K175" s="36">
        <v>6500</v>
      </c>
      <c r="L175" s="36">
        <v>3500</v>
      </c>
      <c r="M175" s="36" t="s">
        <v>333</v>
      </c>
      <c r="N175" s="34"/>
      <c r="O175" s="36">
        <v>16000</v>
      </c>
      <c r="P175" s="36">
        <f>3258+803+3293+151*2+132*4+7835</f>
        <v>16019</v>
      </c>
      <c r="Q175" s="45">
        <f>P175/O175</f>
        <v>1.0011874999999999</v>
      </c>
      <c r="R175" s="36"/>
      <c r="S175" s="37"/>
      <c r="T175" s="34"/>
      <c r="U175" s="34"/>
    </row>
    <row r="176" spans="1:21" ht="14.5" x14ac:dyDescent="0.35">
      <c r="A176" s="34" t="s">
        <v>44</v>
      </c>
      <c r="B176" s="34" t="s">
        <v>40</v>
      </c>
      <c r="C176" s="34" t="s">
        <v>2318</v>
      </c>
      <c r="D176" s="34" t="s">
        <v>278</v>
      </c>
      <c r="E176" s="34" t="s">
        <v>463</v>
      </c>
      <c r="F176" s="35">
        <v>46201</v>
      </c>
      <c r="G176" s="34" t="s">
        <v>464</v>
      </c>
      <c r="H176" s="34" t="s">
        <v>1775</v>
      </c>
      <c r="I176" s="34" t="s">
        <v>465</v>
      </c>
      <c r="J176" s="36"/>
      <c r="K176" s="36"/>
      <c r="L176" s="36"/>
      <c r="M176" s="36"/>
      <c r="N176" s="34"/>
      <c r="O176" s="36">
        <v>22000</v>
      </c>
      <c r="P176" s="36">
        <f>10334+5121+440</f>
        <v>15895</v>
      </c>
      <c r="Q176" s="45">
        <f>P176/O176</f>
        <v>0.72250000000000003</v>
      </c>
      <c r="R176" s="36"/>
      <c r="S176" s="37"/>
      <c r="T176" s="34"/>
      <c r="U176" s="34"/>
    </row>
    <row r="177" spans="1:21" ht="14.5" x14ac:dyDescent="0.35">
      <c r="A177" t="s">
        <v>30</v>
      </c>
      <c r="B177" t="s">
        <v>31</v>
      </c>
      <c r="D177" t="s">
        <v>466</v>
      </c>
      <c r="E177" t="s">
        <v>467</v>
      </c>
      <c r="F177" s="4">
        <v>46362</v>
      </c>
      <c r="G177" t="s">
        <v>3</v>
      </c>
      <c r="H177" t="s">
        <v>21</v>
      </c>
      <c r="I177" t="s">
        <v>22</v>
      </c>
      <c r="J177" t="s">
        <v>35</v>
      </c>
      <c r="K177" t="s">
        <v>35</v>
      </c>
      <c r="M177" t="s">
        <v>35</v>
      </c>
      <c r="O177" s="15">
        <v>18000</v>
      </c>
      <c r="P177" s="38">
        <f>3427+9393+3018</f>
        <v>15838</v>
      </c>
      <c r="Q177" s="45">
        <f>P177/O177</f>
        <v>0.87988888888888894</v>
      </c>
    </row>
    <row r="178" spans="1:21" ht="14.5" x14ac:dyDescent="0.35">
      <c r="A178" t="s">
        <v>124</v>
      </c>
      <c r="B178" t="s">
        <v>40</v>
      </c>
      <c r="D178" t="s">
        <v>125</v>
      </c>
      <c r="E178" t="s">
        <v>468</v>
      </c>
      <c r="F178" s="4">
        <v>46342</v>
      </c>
      <c r="G178" t="s">
        <v>336</v>
      </c>
      <c r="H178" t="s">
        <v>21</v>
      </c>
      <c r="I178" t="s">
        <v>22</v>
      </c>
      <c r="K178" t="s">
        <v>35</v>
      </c>
      <c r="L178" t="s">
        <v>35</v>
      </c>
      <c r="O178" s="15">
        <f>10542+5707</f>
        <v>16249</v>
      </c>
      <c r="P178" s="38">
        <f>10277+5459</f>
        <v>15736</v>
      </c>
      <c r="Q178" s="45">
        <f>P178/O178</f>
        <v>0.96842882638931627</v>
      </c>
    </row>
    <row r="179" spans="1:21" ht="14.5" x14ac:dyDescent="0.35">
      <c r="A179" t="s">
        <v>469</v>
      </c>
      <c r="B179" t="s">
        <v>50</v>
      </c>
      <c r="D179" t="s">
        <v>470</v>
      </c>
      <c r="E179" t="s">
        <v>471</v>
      </c>
      <c r="F179" s="4">
        <v>46166</v>
      </c>
      <c r="G179" t="s">
        <v>472</v>
      </c>
      <c r="H179" t="s">
        <v>21</v>
      </c>
      <c r="I179" t="s">
        <v>22</v>
      </c>
      <c r="J179" t="s">
        <v>35</v>
      </c>
      <c r="K179" t="s">
        <v>35</v>
      </c>
      <c r="L179" t="s">
        <v>35</v>
      </c>
      <c r="O179" s="15">
        <v>18500</v>
      </c>
      <c r="P179" s="38">
        <f>5603+3764+6320</f>
        <v>15687</v>
      </c>
      <c r="Q179" s="45">
        <f>P179/O179</f>
        <v>0.84794594594594597</v>
      </c>
    </row>
    <row r="180" spans="1:21" ht="14.5" x14ac:dyDescent="0.35">
      <c r="A180" t="s">
        <v>63</v>
      </c>
      <c r="B180" t="s">
        <v>40</v>
      </c>
      <c r="D180" t="s">
        <v>473</v>
      </c>
      <c r="E180" t="s">
        <v>474</v>
      </c>
      <c r="F180" s="4">
        <v>46124</v>
      </c>
      <c r="G180" t="s">
        <v>130</v>
      </c>
      <c r="H180" t="s">
        <v>21</v>
      </c>
      <c r="I180" t="s">
        <v>22</v>
      </c>
      <c r="J180">
        <f>3240+895</f>
        <v>4135</v>
      </c>
      <c r="K180">
        <f>4247+3044</f>
        <v>7291</v>
      </c>
      <c r="L180">
        <f>2061+2112</f>
        <v>4173</v>
      </c>
      <c r="O180" s="15">
        <v>15000</v>
      </c>
      <c r="P180" s="38">
        <f>SUM(J180:L180)</f>
        <v>15599</v>
      </c>
      <c r="Q180" s="45">
        <f>P180/O180</f>
        <v>1.0399333333333334</v>
      </c>
      <c r="U180" t="s">
        <v>475</v>
      </c>
    </row>
    <row r="181" spans="1:21" ht="14.5" x14ac:dyDescent="0.35">
      <c r="A181" t="s">
        <v>85</v>
      </c>
      <c r="B181" t="s">
        <v>40</v>
      </c>
      <c r="D181" t="s">
        <v>383</v>
      </c>
      <c r="E181" t="s">
        <v>476</v>
      </c>
      <c r="F181" s="4">
        <v>46263</v>
      </c>
      <c r="G181" t="s">
        <v>385</v>
      </c>
      <c r="H181" t="s">
        <v>21</v>
      </c>
      <c r="I181" t="s">
        <v>22</v>
      </c>
      <c r="K181" t="s">
        <v>35</v>
      </c>
      <c r="O181" s="15">
        <v>15000</v>
      </c>
      <c r="P181" s="38">
        <f>8753+6754+4+10</f>
        <v>15521</v>
      </c>
      <c r="Q181" s="45">
        <f>P181/O181</f>
        <v>1.0347333333333333</v>
      </c>
    </row>
    <row r="182" spans="1:21" ht="14.5" x14ac:dyDescent="0.35">
      <c r="A182" t="s">
        <v>63</v>
      </c>
      <c r="B182" t="s">
        <v>40</v>
      </c>
      <c r="D182" t="s">
        <v>477</v>
      </c>
      <c r="E182" t="s">
        <v>478</v>
      </c>
      <c r="G182" t="s">
        <v>38</v>
      </c>
      <c r="I182" t="s">
        <v>22</v>
      </c>
      <c r="N182" t="s">
        <v>479</v>
      </c>
      <c r="O182" s="15">
        <f>1106*14</f>
        <v>15484</v>
      </c>
      <c r="P182" s="38">
        <v>15470</v>
      </c>
      <c r="Q182" s="45">
        <f>P182/O182</f>
        <v>0.99909584086799275</v>
      </c>
      <c r="U182" t="s">
        <v>480</v>
      </c>
    </row>
    <row r="183" spans="1:21" ht="14.5" x14ac:dyDescent="0.35">
      <c r="A183" t="s">
        <v>98</v>
      </c>
      <c r="B183" t="s">
        <v>40</v>
      </c>
      <c r="D183" t="s">
        <v>136</v>
      </c>
      <c r="E183" t="s">
        <v>481</v>
      </c>
      <c r="F183" s="4">
        <v>46313</v>
      </c>
      <c r="G183" t="s">
        <v>130</v>
      </c>
      <c r="H183" t="s">
        <v>21</v>
      </c>
      <c r="I183" t="s">
        <v>22</v>
      </c>
      <c r="J183">
        <v>1313</v>
      </c>
      <c r="K183">
        <v>9963</v>
      </c>
      <c r="L183">
        <v>4148</v>
      </c>
      <c r="N183" t="s">
        <v>482</v>
      </c>
      <c r="O183" s="15">
        <v>20000</v>
      </c>
      <c r="P183" s="38">
        <f>SUM(J183:L183)</f>
        <v>15424</v>
      </c>
      <c r="Q183" s="45">
        <f>P183/O183</f>
        <v>0.7712</v>
      </c>
    </row>
    <row r="184" spans="1:21" ht="14.5" x14ac:dyDescent="0.35">
      <c r="A184" t="s">
        <v>131</v>
      </c>
      <c r="B184" t="s">
        <v>25</v>
      </c>
      <c r="D184" t="s">
        <v>483</v>
      </c>
      <c r="E184" t="s">
        <v>484</v>
      </c>
      <c r="F184" s="4">
        <v>46084</v>
      </c>
      <c r="G184" t="s">
        <v>169</v>
      </c>
      <c r="H184" t="s">
        <v>21</v>
      </c>
      <c r="I184" t="s">
        <v>22</v>
      </c>
      <c r="J184" t="s">
        <v>35</v>
      </c>
      <c r="O184" s="30">
        <v>20000</v>
      </c>
      <c r="P184" s="40">
        <v>15421</v>
      </c>
      <c r="Q184" s="45">
        <f>P184/O184</f>
        <v>0.77105000000000001</v>
      </c>
      <c r="R184" s="30"/>
      <c r="S184" s="30"/>
    </row>
    <row r="185" spans="1:21" ht="14.5" x14ac:dyDescent="0.35">
      <c r="A185" t="s">
        <v>39</v>
      </c>
      <c r="B185" t="s">
        <v>40</v>
      </c>
      <c r="D185" t="s">
        <v>485</v>
      </c>
      <c r="E185" t="s">
        <v>486</v>
      </c>
      <c r="F185" s="4">
        <v>46299</v>
      </c>
      <c r="G185" t="s">
        <v>78</v>
      </c>
      <c r="H185" t="s">
        <v>21</v>
      </c>
      <c r="I185" t="s">
        <v>22</v>
      </c>
      <c r="K185" t="s">
        <v>35</v>
      </c>
      <c r="L185" t="s">
        <v>35</v>
      </c>
      <c r="O185" s="15">
        <v>30000</v>
      </c>
      <c r="P185" s="38">
        <v>15409</v>
      </c>
      <c r="Q185" s="45">
        <f>P185/O185</f>
        <v>0.51363333333333339</v>
      </c>
    </row>
    <row r="186" spans="1:21" ht="14.5" x14ac:dyDescent="0.35">
      <c r="A186" t="s">
        <v>98</v>
      </c>
      <c r="B186" t="s">
        <v>40</v>
      </c>
      <c r="D186" t="s">
        <v>136</v>
      </c>
      <c r="E186" t="s">
        <v>487</v>
      </c>
      <c r="F186" s="4">
        <v>46341</v>
      </c>
      <c r="G186" t="s">
        <v>130</v>
      </c>
      <c r="I186" t="s">
        <v>488</v>
      </c>
      <c r="O186" s="15">
        <v>10000</v>
      </c>
      <c r="P186" s="38">
        <f>1312+9963+4015</f>
        <v>15290</v>
      </c>
      <c r="Q186" s="45">
        <f>P186/O186</f>
        <v>1.5289999999999999</v>
      </c>
      <c r="U186" t="s">
        <v>489</v>
      </c>
    </row>
    <row r="187" spans="1:21" ht="14.5" x14ac:dyDescent="0.35">
      <c r="A187" s="26" t="s">
        <v>30</v>
      </c>
      <c r="B187" s="26" t="s">
        <v>31</v>
      </c>
      <c r="C187" s="26"/>
      <c r="D187" s="26" t="s">
        <v>2261</v>
      </c>
      <c r="E187" s="26" t="s">
        <v>2262</v>
      </c>
      <c r="F187" s="27">
        <v>46088</v>
      </c>
      <c r="G187" t="s">
        <v>2263</v>
      </c>
      <c r="H187" s="26"/>
      <c r="I187" s="26" t="s">
        <v>22</v>
      </c>
      <c r="J187" s="26"/>
      <c r="K187" s="26"/>
      <c r="L187" s="26"/>
      <c r="M187" s="26" t="s">
        <v>35</v>
      </c>
      <c r="N187" s="26" t="s">
        <v>2235</v>
      </c>
      <c r="O187" s="32"/>
      <c r="P187" s="49">
        <v>15243</v>
      </c>
      <c r="Q187" s="45" t="e">
        <f>P187/O187</f>
        <v>#DIV/0!</v>
      </c>
      <c r="R187" s="32"/>
      <c r="S187" s="32"/>
    </row>
    <row r="188" spans="1:21" ht="14.5" x14ac:dyDescent="0.35">
      <c r="A188" t="s">
        <v>298</v>
      </c>
      <c r="B188" t="s">
        <v>17</v>
      </c>
      <c r="D188" t="s">
        <v>299</v>
      </c>
      <c r="E188" t="s">
        <v>490</v>
      </c>
      <c r="F188" s="4">
        <v>46327</v>
      </c>
      <c r="G188" t="s">
        <v>20</v>
      </c>
      <c r="H188" t="s">
        <v>21</v>
      </c>
      <c r="I188" t="s">
        <v>22</v>
      </c>
      <c r="J188">
        <v>2775</v>
      </c>
      <c r="K188">
        <v>6620</v>
      </c>
      <c r="M188">
        <v>1088</v>
      </c>
      <c r="N188">
        <v>11</v>
      </c>
      <c r="O188" s="30">
        <v>17000</v>
      </c>
      <c r="P188" s="40">
        <f>2775+6620+4639+1088</f>
        <v>15122</v>
      </c>
      <c r="Q188" s="45">
        <f>P188/O188</f>
        <v>0.8895294117647059</v>
      </c>
      <c r="R188" s="30"/>
      <c r="S188" s="30"/>
      <c r="T188">
        <v>1992</v>
      </c>
    </row>
    <row r="189" spans="1:21" ht="14.5" x14ac:dyDescent="0.35">
      <c r="A189" s="34" t="s">
        <v>44</v>
      </c>
      <c r="B189" s="34" t="s">
        <v>40</v>
      </c>
      <c r="C189" s="34" t="s">
        <v>115</v>
      </c>
      <c r="D189" s="34" t="s">
        <v>115</v>
      </c>
      <c r="E189" s="34" t="s">
        <v>1788</v>
      </c>
      <c r="F189" s="35">
        <v>46355</v>
      </c>
      <c r="G189" s="34" t="s">
        <v>1789</v>
      </c>
      <c r="H189" s="34" t="s">
        <v>48</v>
      </c>
      <c r="I189" s="34" t="s">
        <v>956</v>
      </c>
      <c r="J189" s="36"/>
      <c r="K189" s="36"/>
      <c r="L189" s="36"/>
      <c r="M189" s="36"/>
      <c r="N189" s="34" t="s">
        <v>1790</v>
      </c>
      <c r="O189" s="36">
        <v>17000</v>
      </c>
      <c r="P189" s="36">
        <f>420+6153+297+103+140+3854+2561+1548</f>
        <v>15076</v>
      </c>
      <c r="Q189" s="45">
        <f>P189/O189</f>
        <v>0.88682352941176468</v>
      </c>
      <c r="R189" s="38"/>
      <c r="S189" s="39"/>
      <c r="T189" s="34"/>
      <c r="U189" s="34"/>
    </row>
    <row r="190" spans="1:21" ht="14.5" x14ac:dyDescent="0.35">
      <c r="A190" t="s">
        <v>491</v>
      </c>
      <c r="B190" t="s">
        <v>40</v>
      </c>
      <c r="D190" t="s">
        <v>492</v>
      </c>
      <c r="E190" t="s">
        <v>493</v>
      </c>
      <c r="F190" s="4">
        <v>46158</v>
      </c>
      <c r="G190" t="s">
        <v>494</v>
      </c>
      <c r="H190" t="s">
        <v>21</v>
      </c>
      <c r="I190" t="s">
        <v>22</v>
      </c>
      <c r="J190" t="s">
        <v>35</v>
      </c>
      <c r="K190" t="s">
        <v>35</v>
      </c>
      <c r="M190" t="s">
        <v>35</v>
      </c>
      <c r="N190" t="s">
        <v>495</v>
      </c>
      <c r="O190" s="15">
        <v>20000</v>
      </c>
      <c r="P190" s="38">
        <f>2814+9486+1933+194*4</f>
        <v>15009</v>
      </c>
      <c r="Q190" s="45">
        <f>P190/O190</f>
        <v>0.75044999999999995</v>
      </c>
    </row>
    <row r="191" spans="1:21" ht="14.5" x14ac:dyDescent="0.35">
      <c r="A191" s="34" t="s">
        <v>44</v>
      </c>
      <c r="B191" s="34" t="s">
        <v>40</v>
      </c>
      <c r="C191" s="34" t="s">
        <v>496</v>
      </c>
      <c r="D191" s="34" t="s">
        <v>496</v>
      </c>
      <c r="E191" s="34" t="s">
        <v>497</v>
      </c>
      <c r="F191" s="35">
        <v>46138</v>
      </c>
      <c r="G191" s="34" t="s">
        <v>400</v>
      </c>
      <c r="H191" s="34" t="s">
        <v>48</v>
      </c>
      <c r="I191" s="34" t="s">
        <v>22</v>
      </c>
      <c r="J191" s="36">
        <v>7000</v>
      </c>
      <c r="K191" s="36">
        <v>7000</v>
      </c>
      <c r="L191" s="36">
        <v>7000</v>
      </c>
      <c r="M191" s="36"/>
      <c r="N191" s="34" t="s">
        <v>498</v>
      </c>
      <c r="O191" s="36">
        <v>18700</v>
      </c>
      <c r="P191" s="36">
        <f>3468+5383+6157</f>
        <v>15008</v>
      </c>
      <c r="Q191" s="45">
        <f>P191/O191</f>
        <v>0.80256684491978614</v>
      </c>
      <c r="R191" s="36">
        <f>21000+450*4</f>
        <v>22800</v>
      </c>
      <c r="S191" s="37"/>
      <c r="T191" s="34"/>
      <c r="U191" s="34"/>
    </row>
    <row r="192" spans="1:21" ht="14.5" x14ac:dyDescent="0.35">
      <c r="A192" t="s">
        <v>499</v>
      </c>
      <c r="B192" t="s">
        <v>201</v>
      </c>
      <c r="D192" t="s">
        <v>500</v>
      </c>
      <c r="E192" t="s">
        <v>501</v>
      </c>
      <c r="F192" s="4">
        <v>46327</v>
      </c>
      <c r="G192" t="s">
        <v>3</v>
      </c>
      <c r="H192" t="s">
        <v>21</v>
      </c>
      <c r="I192" t="s">
        <v>22</v>
      </c>
      <c r="J192">
        <v>4497</v>
      </c>
      <c r="N192" t="s">
        <v>502</v>
      </c>
      <c r="O192" s="30">
        <f>6694+13499</f>
        <v>20193</v>
      </c>
      <c r="P192" s="40">
        <f>10471+J192+5</f>
        <v>14973</v>
      </c>
      <c r="Q192" s="45">
        <f>P192/O192</f>
        <v>0.74149457732877733</v>
      </c>
      <c r="R192" s="30"/>
      <c r="S192" s="30"/>
      <c r="T192" s="7">
        <v>1979</v>
      </c>
    </row>
    <row r="193" spans="1:21" ht="14.5" x14ac:dyDescent="0.35">
      <c r="A193" t="s">
        <v>737</v>
      </c>
      <c r="B193" t="s">
        <v>25</v>
      </c>
      <c r="D193" t="s">
        <v>2057</v>
      </c>
      <c r="E193" t="s">
        <v>2058</v>
      </c>
      <c r="F193" s="4">
        <v>46334</v>
      </c>
      <c r="G193" t="s">
        <v>810</v>
      </c>
      <c r="I193" t="s">
        <v>22</v>
      </c>
      <c r="J193" t="s">
        <v>35</v>
      </c>
      <c r="K193" t="s">
        <v>35</v>
      </c>
      <c r="L193" t="s">
        <v>35</v>
      </c>
      <c r="M193" t="s">
        <v>35</v>
      </c>
      <c r="O193" s="15">
        <v>18000</v>
      </c>
      <c r="P193" s="38">
        <f>O193-O193*0.17</f>
        <v>14940</v>
      </c>
      <c r="Q193" s="45">
        <f>P193/O193</f>
        <v>0.83</v>
      </c>
    </row>
    <row r="194" spans="1:21" ht="14.5" x14ac:dyDescent="0.35">
      <c r="A194" t="s">
        <v>507</v>
      </c>
      <c r="B194" t="s">
        <v>201</v>
      </c>
      <c r="D194" t="s">
        <v>508</v>
      </c>
      <c r="E194" t="s">
        <v>509</v>
      </c>
      <c r="F194" s="4">
        <v>46369</v>
      </c>
      <c r="G194" t="s">
        <v>510</v>
      </c>
      <c r="I194" t="s">
        <v>22</v>
      </c>
      <c r="K194" t="s">
        <v>35</v>
      </c>
      <c r="L194" t="s">
        <v>35</v>
      </c>
      <c r="M194" t="s">
        <v>35</v>
      </c>
      <c r="N194" t="s">
        <v>511</v>
      </c>
      <c r="O194" s="30"/>
      <c r="P194" s="40">
        <f>2732+697+5093+6351+21</f>
        <v>14894</v>
      </c>
      <c r="Q194" s="45" t="e">
        <f>P194/O194</f>
        <v>#DIV/0!</v>
      </c>
      <c r="R194" s="30"/>
      <c r="S194" s="30"/>
      <c r="T194" s="7"/>
    </row>
    <row r="195" spans="1:21" ht="14.5" x14ac:dyDescent="0.35">
      <c r="A195" t="s">
        <v>507</v>
      </c>
      <c r="B195" t="s">
        <v>201</v>
      </c>
      <c r="D195" t="s">
        <v>508</v>
      </c>
      <c r="E195" t="s">
        <v>512</v>
      </c>
      <c r="F195" s="4">
        <v>46038</v>
      </c>
      <c r="G195" t="s">
        <v>204</v>
      </c>
      <c r="H195" t="s">
        <v>48</v>
      </c>
      <c r="I195" t="s">
        <v>22</v>
      </c>
      <c r="J195">
        <v>698</v>
      </c>
      <c r="K195">
        <v>2732</v>
      </c>
      <c r="L195">
        <v>5093</v>
      </c>
      <c r="M195">
        <v>6351</v>
      </c>
      <c r="N195" t="s">
        <v>513</v>
      </c>
      <c r="O195" s="30">
        <v>20000</v>
      </c>
      <c r="P195" s="40">
        <f>697+2732+5093+6351+21</f>
        <v>14894</v>
      </c>
      <c r="Q195" s="45">
        <f>P195/O195</f>
        <v>0.74470000000000003</v>
      </c>
      <c r="R195" s="30"/>
      <c r="S195" s="30"/>
      <c r="T195" s="7">
        <v>2012</v>
      </c>
    </row>
    <row r="196" spans="1:21" ht="14.5" x14ac:dyDescent="0.35">
      <c r="A196" t="s">
        <v>30</v>
      </c>
      <c r="B196" t="s">
        <v>31</v>
      </c>
      <c r="D196" t="s">
        <v>514</v>
      </c>
      <c r="E196" t="s">
        <v>515</v>
      </c>
      <c r="F196" s="4">
        <v>46074</v>
      </c>
      <c r="G196" t="s">
        <v>20</v>
      </c>
      <c r="H196" t="s">
        <v>21</v>
      </c>
      <c r="I196" t="s">
        <v>22</v>
      </c>
      <c r="K196" t="s">
        <v>35</v>
      </c>
      <c r="L196" t="s">
        <v>35</v>
      </c>
      <c r="M196" t="s">
        <v>35</v>
      </c>
      <c r="O196" s="30">
        <v>25000</v>
      </c>
      <c r="P196" s="40">
        <f>5000+5000+4694</f>
        <v>14694</v>
      </c>
      <c r="Q196" s="45">
        <f>P196/O196</f>
        <v>0.58775999999999995</v>
      </c>
      <c r="R196" s="30"/>
      <c r="S196" s="30"/>
    </row>
    <row r="197" spans="1:21" ht="14.5" x14ac:dyDescent="0.35">
      <c r="A197" t="s">
        <v>66</v>
      </c>
      <c r="B197" t="s">
        <v>40</v>
      </c>
      <c r="D197" t="s">
        <v>516</v>
      </c>
      <c r="E197" t="s">
        <v>517</v>
      </c>
      <c r="F197" s="4">
        <v>46201</v>
      </c>
      <c r="G197" t="s">
        <v>518</v>
      </c>
      <c r="H197" t="s">
        <v>21</v>
      </c>
      <c r="I197" t="s">
        <v>22</v>
      </c>
      <c r="K197" t="s">
        <v>35</v>
      </c>
      <c r="O197" s="15">
        <v>18000</v>
      </c>
      <c r="P197" s="38">
        <f>6218+8279+9</f>
        <v>14506</v>
      </c>
      <c r="Q197" s="45">
        <f>P197/O197</f>
        <v>0.80588888888888888</v>
      </c>
    </row>
    <row r="198" spans="1:21" ht="14.5" x14ac:dyDescent="0.35">
      <c r="A198" t="s">
        <v>124</v>
      </c>
      <c r="B198" t="s">
        <v>40</v>
      </c>
      <c r="D198" t="s">
        <v>172</v>
      </c>
      <c r="E198" t="s">
        <v>519</v>
      </c>
      <c r="F198" s="4">
        <v>46032</v>
      </c>
      <c r="G198" t="s">
        <v>38</v>
      </c>
      <c r="I198" t="s">
        <v>22</v>
      </c>
      <c r="K198" t="s">
        <v>35</v>
      </c>
      <c r="O198" s="15">
        <v>16000</v>
      </c>
      <c r="P198" s="38">
        <v>14436</v>
      </c>
      <c r="Q198" s="45">
        <f>P198/O198</f>
        <v>0.90225</v>
      </c>
      <c r="U198" t="s">
        <v>520</v>
      </c>
    </row>
    <row r="199" spans="1:21" ht="14.5" x14ac:dyDescent="0.35">
      <c r="A199" s="34" t="s">
        <v>44</v>
      </c>
      <c r="B199" s="34" t="s">
        <v>40</v>
      </c>
      <c r="C199" s="34" t="s">
        <v>2318</v>
      </c>
      <c r="D199" s="34" t="s">
        <v>45</v>
      </c>
      <c r="E199" s="34" t="s">
        <v>1797</v>
      </c>
      <c r="F199" s="35">
        <v>46342</v>
      </c>
      <c r="G199" s="34" t="s">
        <v>1798</v>
      </c>
      <c r="H199" s="34" t="s">
        <v>1775</v>
      </c>
      <c r="I199" s="34" t="s">
        <v>22</v>
      </c>
      <c r="J199" s="36"/>
      <c r="K199" s="36"/>
      <c r="L199" s="36">
        <v>16000</v>
      </c>
      <c r="M199" s="36"/>
      <c r="N199" s="34"/>
      <c r="O199" s="36">
        <v>16000</v>
      </c>
      <c r="P199" s="36">
        <v>14412</v>
      </c>
      <c r="Q199" s="45">
        <f>P199/O199</f>
        <v>0.90075000000000005</v>
      </c>
      <c r="R199" s="38"/>
      <c r="S199" s="39"/>
      <c r="T199" s="34"/>
      <c r="U199" s="34"/>
    </row>
    <row r="200" spans="1:21" ht="14.5" x14ac:dyDescent="0.35">
      <c r="A200" t="s">
        <v>63</v>
      </c>
      <c r="B200" t="s">
        <v>40</v>
      </c>
      <c r="D200" t="s">
        <v>521</v>
      </c>
      <c r="E200" t="s">
        <v>522</v>
      </c>
      <c r="F200" s="4">
        <v>46299</v>
      </c>
      <c r="G200" t="s">
        <v>38</v>
      </c>
      <c r="I200" t="s">
        <v>22</v>
      </c>
      <c r="O200" s="15">
        <v>17000</v>
      </c>
      <c r="P200" s="38">
        <v>14298</v>
      </c>
      <c r="Q200" s="45">
        <f>P200/O200</f>
        <v>0.84105882352941175</v>
      </c>
      <c r="U200" t="s">
        <v>523</v>
      </c>
    </row>
    <row r="201" spans="1:21" ht="14.5" x14ac:dyDescent="0.35">
      <c r="A201" t="s">
        <v>63</v>
      </c>
      <c r="B201" t="s">
        <v>40</v>
      </c>
      <c r="D201" t="s">
        <v>524</v>
      </c>
      <c r="E201" t="s">
        <v>525</v>
      </c>
      <c r="F201" s="4">
        <v>46137</v>
      </c>
      <c r="G201" t="s">
        <v>38</v>
      </c>
      <c r="H201" t="s">
        <v>21</v>
      </c>
      <c r="I201" t="s">
        <v>22</v>
      </c>
      <c r="O201" s="15">
        <v>15101</v>
      </c>
      <c r="P201" s="38">
        <v>14171</v>
      </c>
      <c r="Q201" s="45">
        <f>P201/O201</f>
        <v>0.93841467452486593</v>
      </c>
      <c r="U201" t="s">
        <v>526</v>
      </c>
    </row>
    <row r="202" spans="1:21" ht="14.5" x14ac:dyDescent="0.35">
      <c r="A202" t="s">
        <v>527</v>
      </c>
      <c r="B202" t="s">
        <v>40</v>
      </c>
      <c r="D202" t="s">
        <v>528</v>
      </c>
      <c r="E202" t="s">
        <v>529</v>
      </c>
      <c r="F202" s="4">
        <v>46109</v>
      </c>
      <c r="G202" t="s">
        <v>530</v>
      </c>
      <c r="H202" t="s">
        <v>21</v>
      </c>
      <c r="I202" t="s">
        <v>22</v>
      </c>
      <c r="K202" t="s">
        <v>35</v>
      </c>
      <c r="O202" s="15">
        <v>17000</v>
      </c>
      <c r="P202" s="38">
        <v>14171</v>
      </c>
      <c r="Q202" s="45">
        <f>P202/O202</f>
        <v>0.83358823529411763</v>
      </c>
      <c r="U202" s="18" t="s">
        <v>531</v>
      </c>
    </row>
    <row r="203" spans="1:21" ht="14.5" x14ac:dyDescent="0.35">
      <c r="A203" t="s">
        <v>72</v>
      </c>
      <c r="B203" t="s">
        <v>40</v>
      </c>
      <c r="D203" t="s">
        <v>532</v>
      </c>
      <c r="E203" t="s">
        <v>533</v>
      </c>
      <c r="F203" s="4">
        <v>46110</v>
      </c>
      <c r="G203" t="s">
        <v>75</v>
      </c>
      <c r="I203" t="s">
        <v>22</v>
      </c>
      <c r="N203" t="s">
        <v>534</v>
      </c>
      <c r="O203" s="15">
        <v>16000</v>
      </c>
      <c r="P203" s="38">
        <f>74+1389+4624+96+601+2924+524+3931</f>
        <v>14163</v>
      </c>
      <c r="Q203" s="45">
        <f>P203/O203</f>
        <v>0.88518750000000002</v>
      </c>
      <c r="U203" t="s">
        <v>535</v>
      </c>
    </row>
    <row r="204" spans="1:21" ht="14.5" x14ac:dyDescent="0.35">
      <c r="A204" t="s">
        <v>205</v>
      </c>
      <c r="B204" t="s">
        <v>81</v>
      </c>
      <c r="D204" t="s">
        <v>206</v>
      </c>
      <c r="E204" t="s">
        <v>536</v>
      </c>
      <c r="F204" s="4">
        <v>46166</v>
      </c>
      <c r="G204" t="s">
        <v>184</v>
      </c>
      <c r="H204" t="s">
        <v>48</v>
      </c>
      <c r="I204" t="s">
        <v>208</v>
      </c>
      <c r="J204" t="s">
        <v>35</v>
      </c>
      <c r="L204" t="s">
        <v>35</v>
      </c>
      <c r="M204" t="s">
        <v>35</v>
      </c>
      <c r="N204" t="s">
        <v>537</v>
      </c>
      <c r="O204" s="30">
        <v>21000</v>
      </c>
      <c r="P204" s="40">
        <f>2879+324+467+458+10009</f>
        <v>14137</v>
      </c>
      <c r="Q204" s="45">
        <f>P204/O204</f>
        <v>0.67319047619047623</v>
      </c>
      <c r="R204" s="30"/>
      <c r="S204" s="30"/>
    </row>
    <row r="205" spans="1:21" ht="14.5" x14ac:dyDescent="0.35">
      <c r="A205" t="s">
        <v>538</v>
      </c>
      <c r="B205" t="s">
        <v>25</v>
      </c>
      <c r="D205" t="s">
        <v>105</v>
      </c>
      <c r="E205" t="s">
        <v>539</v>
      </c>
      <c r="F205" s="4">
        <v>46137</v>
      </c>
      <c r="I205" t="s">
        <v>22</v>
      </c>
      <c r="M205" t="s">
        <v>35</v>
      </c>
      <c r="O205" s="15">
        <v>17000</v>
      </c>
      <c r="P205" s="38">
        <f>O205-O205*0.17</f>
        <v>14110</v>
      </c>
      <c r="Q205" s="45">
        <f>P205/O205</f>
        <v>0.83</v>
      </c>
    </row>
    <row r="206" spans="1:21" ht="14.5" x14ac:dyDescent="0.35">
      <c r="A206" t="s">
        <v>124</v>
      </c>
      <c r="B206" t="s">
        <v>40</v>
      </c>
      <c r="D206" t="s">
        <v>219</v>
      </c>
      <c r="E206" t="s">
        <v>540</v>
      </c>
      <c r="F206" s="4">
        <v>46356</v>
      </c>
      <c r="G206" t="s">
        <v>541</v>
      </c>
      <c r="H206" t="s">
        <v>21</v>
      </c>
      <c r="I206" t="s">
        <v>22</v>
      </c>
      <c r="L206" t="s">
        <v>35</v>
      </c>
      <c r="M206" t="s">
        <v>35</v>
      </c>
      <c r="O206" s="15">
        <v>18000</v>
      </c>
      <c r="P206" s="38">
        <f>2585+11202+13+8</f>
        <v>13808</v>
      </c>
      <c r="Q206" s="45">
        <f>P206/O206</f>
        <v>0.76711111111111108</v>
      </c>
    </row>
    <row r="207" spans="1:21" ht="14.5" x14ac:dyDescent="0.35">
      <c r="A207" s="34" t="s">
        <v>44</v>
      </c>
      <c r="B207" s="34" t="s">
        <v>40</v>
      </c>
      <c r="C207" s="34" t="s">
        <v>2324</v>
      </c>
      <c r="D207" s="34" t="s">
        <v>542</v>
      </c>
      <c r="E207" s="34" t="s">
        <v>543</v>
      </c>
      <c r="F207" s="35">
        <v>46180</v>
      </c>
      <c r="G207" s="34" t="s">
        <v>38</v>
      </c>
      <c r="H207" s="34" t="s">
        <v>1775</v>
      </c>
      <c r="I207" s="34" t="s">
        <v>22</v>
      </c>
      <c r="J207" s="36">
        <v>5000</v>
      </c>
      <c r="K207" s="36">
        <v>5000</v>
      </c>
      <c r="L207" s="36">
        <v>5000</v>
      </c>
      <c r="M207" s="36">
        <v>10000</v>
      </c>
      <c r="N207" s="34" t="s">
        <v>544</v>
      </c>
      <c r="O207" s="36">
        <v>30000</v>
      </c>
      <c r="P207" s="36">
        <f>4680+4146+241+4731</f>
        <v>13798</v>
      </c>
      <c r="Q207" s="45">
        <f>P207/O207</f>
        <v>0.45993333333333336</v>
      </c>
      <c r="R207" s="36"/>
      <c r="S207" s="37"/>
      <c r="T207" s="34"/>
      <c r="U207" s="34"/>
    </row>
    <row r="208" spans="1:21" ht="14.5" x14ac:dyDescent="0.35">
      <c r="A208" t="s">
        <v>545</v>
      </c>
      <c r="B208" t="s">
        <v>40</v>
      </c>
      <c r="D208" t="s">
        <v>546</v>
      </c>
      <c r="E208" t="s">
        <v>547</v>
      </c>
      <c r="F208" s="4">
        <v>46278</v>
      </c>
      <c r="G208" t="s">
        <v>548</v>
      </c>
      <c r="H208" t="s">
        <v>21</v>
      </c>
      <c r="I208" t="s">
        <v>22</v>
      </c>
      <c r="J208">
        <v>2265</v>
      </c>
      <c r="K208">
        <v>4375</v>
      </c>
      <c r="L208">
        <v>4505</v>
      </c>
      <c r="M208">
        <v>2367</v>
      </c>
      <c r="N208" t="s">
        <v>549</v>
      </c>
      <c r="O208" s="15">
        <v>25000</v>
      </c>
      <c r="P208" s="38">
        <f>SUM(J208:M208)+63*4</f>
        <v>13764</v>
      </c>
      <c r="Q208" s="45">
        <f>P208/O208</f>
        <v>0.55056000000000005</v>
      </c>
      <c r="U208" s="18" t="s">
        <v>550</v>
      </c>
    </row>
    <row r="209" spans="1:21" ht="14.5" x14ac:dyDescent="0.35">
      <c r="A209" t="s">
        <v>131</v>
      </c>
      <c r="B209" t="s">
        <v>25</v>
      </c>
      <c r="D209" t="s">
        <v>2169</v>
      </c>
      <c r="E209" t="s">
        <v>2170</v>
      </c>
      <c r="F209" s="4">
        <v>46061</v>
      </c>
      <c r="G209" t="s">
        <v>3</v>
      </c>
      <c r="I209" t="s">
        <v>22</v>
      </c>
      <c r="J209">
        <v>12405</v>
      </c>
      <c r="N209" t="s">
        <v>2171</v>
      </c>
      <c r="P209" s="38">
        <f>12405+1327</f>
        <v>13732</v>
      </c>
      <c r="Q209" s="45" t="e">
        <f>P209/O209</f>
        <v>#DIV/0!</v>
      </c>
      <c r="U209" t="s">
        <v>2172</v>
      </c>
    </row>
    <row r="210" spans="1:21" ht="14.5" x14ac:dyDescent="0.35">
      <c r="A210" s="34" t="s">
        <v>44</v>
      </c>
      <c r="B210" s="34" t="s">
        <v>40</v>
      </c>
      <c r="C210" s="34" t="s">
        <v>2325</v>
      </c>
      <c r="D210" s="34" t="s">
        <v>551</v>
      </c>
      <c r="E210" s="34" t="s">
        <v>552</v>
      </c>
      <c r="F210" s="35">
        <v>46292</v>
      </c>
      <c r="G210" s="34" t="s">
        <v>165</v>
      </c>
      <c r="H210" s="34" t="s">
        <v>48</v>
      </c>
      <c r="I210" s="34" t="s">
        <v>22</v>
      </c>
      <c r="J210" s="36" t="s">
        <v>333</v>
      </c>
      <c r="K210" s="36"/>
      <c r="L210" s="36" t="s">
        <v>333</v>
      </c>
      <c r="M210" s="36"/>
      <c r="N210" s="34" t="s">
        <v>553</v>
      </c>
      <c r="O210" s="36">
        <v>17000</v>
      </c>
      <c r="P210" s="36">
        <f>1847+7990+3115+320*2+11</f>
        <v>13603</v>
      </c>
      <c r="Q210" s="45">
        <f>P210/O210</f>
        <v>0.80017647058823527</v>
      </c>
      <c r="R210" s="36"/>
      <c r="S210" s="37"/>
      <c r="T210" s="34"/>
      <c r="U210" s="34"/>
    </row>
    <row r="211" spans="1:21" ht="14.5" x14ac:dyDescent="0.35">
      <c r="A211" t="s">
        <v>181</v>
      </c>
      <c r="B211" t="s">
        <v>40</v>
      </c>
      <c r="D211" t="s">
        <v>554</v>
      </c>
      <c r="E211" t="s">
        <v>555</v>
      </c>
      <c r="F211" s="4">
        <v>46320</v>
      </c>
      <c r="G211" t="s">
        <v>556</v>
      </c>
      <c r="H211" t="s">
        <v>21</v>
      </c>
      <c r="I211" t="s">
        <v>22</v>
      </c>
      <c r="J211">
        <v>2951</v>
      </c>
      <c r="K211">
        <v>4055</v>
      </c>
      <c r="L211">
        <f>797+5796</f>
        <v>6593</v>
      </c>
      <c r="O211" s="15">
        <v>20000</v>
      </c>
      <c r="P211" s="38">
        <f>2951+4055+797+5796</f>
        <v>13599</v>
      </c>
      <c r="Q211" s="45">
        <f>P211/O211</f>
        <v>0.67995000000000005</v>
      </c>
      <c r="T211">
        <v>1986</v>
      </c>
    </row>
    <row r="212" spans="1:21" ht="14.5" x14ac:dyDescent="0.35">
      <c r="A212" t="s">
        <v>110</v>
      </c>
      <c r="B212" t="s">
        <v>31</v>
      </c>
      <c r="D212" t="s">
        <v>557</v>
      </c>
      <c r="E212" t="s">
        <v>2140</v>
      </c>
      <c r="F212" s="4">
        <v>46166</v>
      </c>
      <c r="G212" t="s">
        <v>2141</v>
      </c>
      <c r="H212" t="s">
        <v>21</v>
      </c>
      <c r="I212" t="s">
        <v>22</v>
      </c>
      <c r="J212">
        <v>1938</v>
      </c>
      <c r="K212">
        <v>4905</v>
      </c>
      <c r="L212">
        <v>4008</v>
      </c>
      <c r="M212">
        <v>2735</v>
      </c>
      <c r="P212" s="38">
        <f>SUM(J212:M212)</f>
        <v>13586</v>
      </c>
      <c r="Q212" s="45" t="e">
        <f>P212/O212</f>
        <v>#DIV/0!</v>
      </c>
    </row>
    <row r="213" spans="1:21" ht="14.5" x14ac:dyDescent="0.35">
      <c r="A213" t="s">
        <v>110</v>
      </c>
      <c r="B213" t="s">
        <v>31</v>
      </c>
      <c r="D213" t="s">
        <v>557</v>
      </c>
      <c r="E213" t="s">
        <v>558</v>
      </c>
      <c r="F213" s="4">
        <v>46166</v>
      </c>
      <c r="G213" t="s">
        <v>559</v>
      </c>
      <c r="H213" t="s">
        <v>21</v>
      </c>
      <c r="I213" t="s">
        <v>22</v>
      </c>
      <c r="J213">
        <v>1938</v>
      </c>
      <c r="K213">
        <v>4905</v>
      </c>
      <c r="L213">
        <v>4008</v>
      </c>
      <c r="M213">
        <v>2735</v>
      </c>
      <c r="O213" s="30">
        <v>17000</v>
      </c>
      <c r="P213" s="40">
        <f>1938+4905+4008+2735</f>
        <v>13586</v>
      </c>
      <c r="Q213" s="45">
        <f>P213/O213</f>
        <v>0.79917647058823527</v>
      </c>
      <c r="R213" s="30"/>
      <c r="S213" s="30"/>
      <c r="T213">
        <v>1970</v>
      </c>
    </row>
    <row r="214" spans="1:21" ht="14.5" x14ac:dyDescent="0.35">
      <c r="A214" s="34" t="s">
        <v>44</v>
      </c>
      <c r="B214" s="34" t="s">
        <v>40</v>
      </c>
      <c r="C214" s="34" t="s">
        <v>2323</v>
      </c>
      <c r="D214" s="34" t="s">
        <v>451</v>
      </c>
      <c r="E214" s="34" t="s">
        <v>560</v>
      </c>
      <c r="F214" s="35">
        <v>46131</v>
      </c>
      <c r="G214" s="34" t="s">
        <v>453</v>
      </c>
      <c r="H214" s="34" t="s">
        <v>1775</v>
      </c>
      <c r="I214" s="34" t="s">
        <v>22</v>
      </c>
      <c r="J214" s="36"/>
      <c r="K214" s="36">
        <v>9000</v>
      </c>
      <c r="L214" s="36">
        <v>7500</v>
      </c>
      <c r="M214" s="36">
        <v>2000</v>
      </c>
      <c r="N214" s="34"/>
      <c r="O214" s="36">
        <v>19000</v>
      </c>
      <c r="P214" s="36">
        <f>5033+1193+7311+7+3+4</f>
        <v>13551</v>
      </c>
      <c r="Q214" s="45">
        <f>P214/O214</f>
        <v>0.71321052631578952</v>
      </c>
      <c r="R214" s="38"/>
      <c r="S214" s="39"/>
      <c r="T214" s="34"/>
      <c r="U214" s="34"/>
    </row>
    <row r="215" spans="1:21" ht="14.5" x14ac:dyDescent="0.35">
      <c r="A215" s="34" t="s">
        <v>44</v>
      </c>
      <c r="B215" s="34" t="s">
        <v>40</v>
      </c>
      <c r="C215" s="34" t="s">
        <v>561</v>
      </c>
      <c r="D215" s="34" t="s">
        <v>561</v>
      </c>
      <c r="E215" s="34" t="s">
        <v>562</v>
      </c>
      <c r="F215" s="35">
        <v>46313</v>
      </c>
      <c r="G215" s="34" t="s">
        <v>563</v>
      </c>
      <c r="H215" s="34" t="s">
        <v>1775</v>
      </c>
      <c r="I215" s="34" t="s">
        <v>22</v>
      </c>
      <c r="J215" s="36" t="s">
        <v>333</v>
      </c>
      <c r="K215" s="36"/>
      <c r="L215" s="36">
        <v>5000</v>
      </c>
      <c r="M215" s="36"/>
      <c r="N215" s="34" t="s">
        <v>564</v>
      </c>
      <c r="O215" s="36">
        <v>18590</v>
      </c>
      <c r="P215" s="36">
        <f>4129+936+799*2+4743+2118</f>
        <v>13524</v>
      </c>
      <c r="Q215" s="45">
        <f>P215/O215</f>
        <v>0.72748789671866598</v>
      </c>
      <c r="R215" s="36"/>
      <c r="S215" s="37"/>
      <c r="T215" s="34"/>
      <c r="U215" s="34"/>
    </row>
    <row r="216" spans="1:21" ht="14.5" x14ac:dyDescent="0.35">
      <c r="A216" s="34" t="s">
        <v>44</v>
      </c>
      <c r="B216" s="34" t="s">
        <v>40</v>
      </c>
      <c r="C216" s="34" t="s">
        <v>2318</v>
      </c>
      <c r="D216" s="34" t="s">
        <v>45</v>
      </c>
      <c r="E216" s="34" t="s">
        <v>565</v>
      </c>
      <c r="F216" s="35">
        <v>46279</v>
      </c>
      <c r="G216" s="34" t="s">
        <v>1798</v>
      </c>
      <c r="H216" s="34" t="s">
        <v>1775</v>
      </c>
      <c r="I216" s="34" t="s">
        <v>22</v>
      </c>
      <c r="J216" s="36"/>
      <c r="K216" s="36"/>
      <c r="L216" s="36" t="s">
        <v>333</v>
      </c>
      <c r="M216" s="36"/>
      <c r="N216" s="34" t="s">
        <v>566</v>
      </c>
      <c r="O216" s="36">
        <v>21000</v>
      </c>
      <c r="P216" s="36">
        <f>7807+5676</f>
        <v>13483</v>
      </c>
      <c r="Q216" s="45">
        <f>P216/O216</f>
        <v>0.64204761904761909</v>
      </c>
      <c r="R216" s="38"/>
      <c r="S216" s="39"/>
      <c r="T216" s="34"/>
      <c r="U216" s="34"/>
    </row>
    <row r="217" spans="1:21" ht="14.5" x14ac:dyDescent="0.35">
      <c r="A217" t="s">
        <v>181</v>
      </c>
      <c r="B217" t="s">
        <v>40</v>
      </c>
      <c r="D217" t="s">
        <v>567</v>
      </c>
      <c r="E217" t="s">
        <v>568</v>
      </c>
      <c r="F217" s="4">
        <v>46110</v>
      </c>
      <c r="G217" t="s">
        <v>194</v>
      </c>
      <c r="H217" t="s">
        <v>21</v>
      </c>
      <c r="K217" t="s">
        <v>35</v>
      </c>
      <c r="L217" t="s">
        <v>35</v>
      </c>
      <c r="M217" t="s">
        <v>35</v>
      </c>
      <c r="O217" s="15">
        <v>10000</v>
      </c>
      <c r="P217" s="38">
        <f>5145+8311</f>
        <v>13456</v>
      </c>
      <c r="Q217" s="45">
        <f>P217/O217</f>
        <v>1.3455999999999999</v>
      </c>
      <c r="T217">
        <v>2025</v>
      </c>
      <c r="U217" s="18" t="s">
        <v>569</v>
      </c>
    </row>
    <row r="218" spans="1:21" ht="14.5" x14ac:dyDescent="0.35">
      <c r="A218" t="s">
        <v>124</v>
      </c>
      <c r="B218" t="s">
        <v>40</v>
      </c>
      <c r="D218" t="s">
        <v>375</v>
      </c>
      <c r="E218" t="s">
        <v>570</v>
      </c>
      <c r="F218" s="4">
        <v>46068</v>
      </c>
      <c r="G218" t="s">
        <v>190</v>
      </c>
      <c r="H218" t="s">
        <v>48</v>
      </c>
      <c r="I218" t="s">
        <v>22</v>
      </c>
      <c r="J218" t="s">
        <v>35</v>
      </c>
      <c r="O218" s="15">
        <v>16000</v>
      </c>
      <c r="P218" s="38">
        <v>13427</v>
      </c>
      <c r="Q218" s="45">
        <f>P218/O218</f>
        <v>0.83918749999999998</v>
      </c>
    </row>
    <row r="219" spans="1:21" ht="14.5" x14ac:dyDescent="0.35">
      <c r="A219" t="s">
        <v>469</v>
      </c>
      <c r="B219" t="s">
        <v>50</v>
      </c>
      <c r="D219" t="s">
        <v>470</v>
      </c>
      <c r="E219" t="s">
        <v>571</v>
      </c>
      <c r="F219" s="4">
        <v>46257</v>
      </c>
      <c r="G219" t="s">
        <v>572</v>
      </c>
      <c r="H219" t="s">
        <v>21</v>
      </c>
      <c r="I219" t="s">
        <v>22</v>
      </c>
      <c r="K219" t="s">
        <v>35</v>
      </c>
      <c r="L219" t="s">
        <v>35</v>
      </c>
      <c r="O219" s="30">
        <v>20000</v>
      </c>
      <c r="P219" s="40">
        <f>6542+6881</f>
        <v>13423</v>
      </c>
      <c r="Q219" s="45">
        <f>P219/O219</f>
        <v>0.67115000000000002</v>
      </c>
      <c r="R219" s="30"/>
      <c r="S219" s="30"/>
      <c r="U219" t="s">
        <v>573</v>
      </c>
    </row>
    <row r="220" spans="1:21" ht="14.5" x14ac:dyDescent="0.35">
      <c r="A220" t="s">
        <v>72</v>
      </c>
      <c r="B220" t="s">
        <v>40</v>
      </c>
      <c r="D220" t="s">
        <v>574</v>
      </c>
      <c r="E220" t="s">
        <v>575</v>
      </c>
      <c r="F220" s="4">
        <v>46124</v>
      </c>
      <c r="G220" t="s">
        <v>38</v>
      </c>
      <c r="H220" t="s">
        <v>21</v>
      </c>
      <c r="I220" t="s">
        <v>22</v>
      </c>
      <c r="J220" t="s">
        <v>35</v>
      </c>
      <c r="K220" t="s">
        <v>35</v>
      </c>
      <c r="L220" t="s">
        <v>35</v>
      </c>
      <c r="M220" t="s">
        <v>35</v>
      </c>
      <c r="O220" s="15">
        <v>17000</v>
      </c>
      <c r="P220" s="38">
        <f>2227+6231+3009+1948</f>
        <v>13415</v>
      </c>
      <c r="Q220" s="45">
        <f>P220/O220</f>
        <v>0.78911764705882348</v>
      </c>
      <c r="T220">
        <v>1947</v>
      </c>
      <c r="U220" t="s">
        <v>576</v>
      </c>
    </row>
    <row r="221" spans="1:21" ht="14.5" x14ac:dyDescent="0.35">
      <c r="A221" t="s">
        <v>98</v>
      </c>
      <c r="B221" t="s">
        <v>40</v>
      </c>
      <c r="D221" t="s">
        <v>99</v>
      </c>
      <c r="E221" t="s">
        <v>577</v>
      </c>
      <c r="F221" s="4">
        <v>46328</v>
      </c>
      <c r="G221" t="s">
        <v>130</v>
      </c>
      <c r="I221" t="s">
        <v>22</v>
      </c>
      <c r="J221">
        <v>2978</v>
      </c>
      <c r="K221">
        <v>8634</v>
      </c>
      <c r="N221">
        <v>7</v>
      </c>
      <c r="O221" s="15">
        <v>20000</v>
      </c>
      <c r="P221" s="38">
        <f>2978+8634+1701</f>
        <v>13313</v>
      </c>
      <c r="Q221" s="45">
        <f>P221/O221</f>
        <v>0.66564999999999996</v>
      </c>
      <c r="T221">
        <v>2005</v>
      </c>
    </row>
    <row r="222" spans="1:21" ht="14.5" x14ac:dyDescent="0.35">
      <c r="A222" t="s">
        <v>196</v>
      </c>
      <c r="B222" t="s">
        <v>25</v>
      </c>
      <c r="D222" t="s">
        <v>2067</v>
      </c>
      <c r="E222" t="s">
        <v>2068</v>
      </c>
      <c r="F222" s="4">
        <v>46279</v>
      </c>
      <c r="I222" t="s">
        <v>22</v>
      </c>
      <c r="J222" t="s">
        <v>35</v>
      </c>
      <c r="K222" t="s">
        <v>35</v>
      </c>
      <c r="O222" s="15">
        <v>16000</v>
      </c>
      <c r="P222" s="38">
        <f>O222-O222*0.17</f>
        <v>13280</v>
      </c>
      <c r="Q222" s="45">
        <f>P222/O222</f>
        <v>0.83</v>
      </c>
    </row>
    <row r="223" spans="1:21" ht="14.5" x14ac:dyDescent="0.35">
      <c r="A223" t="s">
        <v>2182</v>
      </c>
      <c r="B223" t="s">
        <v>201</v>
      </c>
      <c r="D223" t="s">
        <v>2183</v>
      </c>
      <c r="E223" t="s">
        <v>2187</v>
      </c>
      <c r="F223" s="4">
        <v>46292</v>
      </c>
      <c r="I223" t="s">
        <v>22</v>
      </c>
      <c r="J223" t="s">
        <v>35</v>
      </c>
      <c r="K223" t="s">
        <v>35</v>
      </c>
      <c r="L223" t="s">
        <v>35</v>
      </c>
      <c r="O223" s="15">
        <v>16000</v>
      </c>
      <c r="P223" s="38">
        <f>O223-O223*0.17</f>
        <v>13280</v>
      </c>
      <c r="Q223" s="45">
        <f>P223/O223</f>
        <v>0.83</v>
      </c>
    </row>
    <row r="224" spans="1:21" ht="14.5" x14ac:dyDescent="0.35">
      <c r="A224" s="34" t="s">
        <v>44</v>
      </c>
      <c r="B224" s="34" t="s">
        <v>40</v>
      </c>
      <c r="C224" s="34" t="s">
        <v>561</v>
      </c>
      <c r="D224" s="34" t="s">
        <v>1782</v>
      </c>
      <c r="E224" s="34" t="s">
        <v>1833</v>
      </c>
      <c r="F224" s="35">
        <v>46131</v>
      </c>
      <c r="G224" s="34" t="s">
        <v>563</v>
      </c>
      <c r="H224" s="34" t="s">
        <v>1775</v>
      </c>
      <c r="I224" t="s">
        <v>488</v>
      </c>
      <c r="J224" s="38"/>
      <c r="K224" s="38"/>
      <c r="L224" s="38"/>
      <c r="M224" s="38"/>
      <c r="N224" s="34" t="s">
        <v>1834</v>
      </c>
      <c r="O224" s="36">
        <v>12000</v>
      </c>
      <c r="P224" s="36">
        <f>5703+3688+3846</f>
        <v>13237</v>
      </c>
      <c r="Q224" s="45">
        <f>P224/O224</f>
        <v>1.1030833333333334</v>
      </c>
      <c r="R224" s="38"/>
      <c r="S224" s="39"/>
      <c r="T224" s="34"/>
      <c r="U224" s="34"/>
    </row>
    <row r="225" spans="1:21" ht="14.5" x14ac:dyDescent="0.35">
      <c r="A225" s="34" t="s">
        <v>44</v>
      </c>
      <c r="B225" s="34" t="s">
        <v>40</v>
      </c>
      <c r="C225" s="34" t="s">
        <v>496</v>
      </c>
      <c r="D225" s="34" t="s">
        <v>1808</v>
      </c>
      <c r="E225" s="34" t="s">
        <v>1809</v>
      </c>
      <c r="F225" s="35">
        <v>46334</v>
      </c>
      <c r="G225" s="34" t="s">
        <v>400</v>
      </c>
      <c r="H225" s="34" t="s">
        <v>48</v>
      </c>
      <c r="I225" s="34" t="s">
        <v>22</v>
      </c>
      <c r="J225" s="36">
        <v>7000</v>
      </c>
      <c r="K225" s="36">
        <v>4000</v>
      </c>
      <c r="L225" s="36">
        <v>3000</v>
      </c>
      <c r="M225" s="36">
        <v>1000</v>
      </c>
      <c r="N225" s="34"/>
      <c r="O225" s="36">
        <f>7000+4000+3000+1000</f>
        <v>15000</v>
      </c>
      <c r="P225" s="36">
        <f>6008+819+2544+3816</f>
        <v>13187</v>
      </c>
      <c r="Q225" s="45">
        <f>P225/O225</f>
        <v>0.87913333333333332</v>
      </c>
      <c r="R225" s="36"/>
      <c r="S225" s="37"/>
      <c r="T225" s="34"/>
      <c r="U225" s="34"/>
    </row>
    <row r="226" spans="1:21" ht="14.5" x14ac:dyDescent="0.35">
      <c r="A226" s="34" t="s">
        <v>44</v>
      </c>
      <c r="B226" s="34" t="s">
        <v>40</v>
      </c>
      <c r="C226" s="34" t="s">
        <v>2326</v>
      </c>
      <c r="D226" s="34" t="s">
        <v>1794</v>
      </c>
      <c r="E226" s="34" t="s">
        <v>1795</v>
      </c>
      <c r="F226" s="35">
        <v>46145</v>
      </c>
      <c r="G226" s="34" t="s">
        <v>1789</v>
      </c>
      <c r="H226" s="34" t="s">
        <v>48</v>
      </c>
      <c r="I226" s="34" t="s">
        <v>22</v>
      </c>
      <c r="J226" s="36" t="s">
        <v>333</v>
      </c>
      <c r="K226" s="36" t="s">
        <v>333</v>
      </c>
      <c r="L226" s="36"/>
      <c r="M226" s="36"/>
      <c r="N226" s="34" t="s">
        <v>1796</v>
      </c>
      <c r="O226" s="36">
        <v>16000</v>
      </c>
      <c r="P226" s="36">
        <f>1823+161*3+7088+3612+71*2+2</f>
        <v>13150</v>
      </c>
      <c r="Q226" s="45">
        <f>P226/O226</f>
        <v>0.82187500000000002</v>
      </c>
      <c r="R226" s="36"/>
      <c r="S226" s="37"/>
      <c r="T226" s="34"/>
      <c r="U226" s="34"/>
    </row>
    <row r="227" spans="1:21" ht="14.5" x14ac:dyDescent="0.35">
      <c r="A227" t="s">
        <v>30</v>
      </c>
      <c r="B227" t="s">
        <v>31</v>
      </c>
      <c r="D227" t="s">
        <v>578</v>
      </c>
      <c r="E227" t="s">
        <v>579</v>
      </c>
      <c r="F227" s="4">
        <v>46138</v>
      </c>
      <c r="G227" t="s">
        <v>20</v>
      </c>
      <c r="H227" t="s">
        <v>21</v>
      </c>
      <c r="I227" t="s">
        <v>22</v>
      </c>
      <c r="J227" t="s">
        <v>35</v>
      </c>
      <c r="K227" t="s">
        <v>35</v>
      </c>
      <c r="L227" t="s">
        <v>35</v>
      </c>
      <c r="M227" t="s">
        <v>35</v>
      </c>
      <c r="O227" s="15">
        <v>23000</v>
      </c>
      <c r="P227" s="38">
        <f>3622+5000+2291+2185</f>
        <v>13098</v>
      </c>
      <c r="Q227" s="45">
        <f>P227/O227</f>
        <v>0.56947826086956521</v>
      </c>
    </row>
    <row r="228" spans="1:21" ht="14.5" x14ac:dyDescent="0.35">
      <c r="A228" t="s">
        <v>39</v>
      </c>
      <c r="B228" t="s">
        <v>40</v>
      </c>
      <c r="D228" t="s">
        <v>41</v>
      </c>
      <c r="E228" t="s">
        <v>580</v>
      </c>
      <c r="F228" s="4">
        <v>46215</v>
      </c>
      <c r="G228" t="s">
        <v>113</v>
      </c>
      <c r="I228" t="s">
        <v>22</v>
      </c>
      <c r="L228" t="s">
        <v>35</v>
      </c>
      <c r="O228" s="15">
        <v>17000</v>
      </c>
      <c r="P228" s="38">
        <v>13067</v>
      </c>
      <c r="Q228" s="45">
        <f>P228/O228</f>
        <v>0.76864705882352946</v>
      </c>
    </row>
    <row r="229" spans="1:21" ht="14.5" x14ac:dyDescent="0.35">
      <c r="A229" s="34" t="s">
        <v>44</v>
      </c>
      <c r="B229" s="34" t="s">
        <v>40</v>
      </c>
      <c r="C229" s="34" t="s">
        <v>2318</v>
      </c>
      <c r="D229" s="34" t="s">
        <v>45</v>
      </c>
      <c r="E229" s="34" t="s">
        <v>1785</v>
      </c>
      <c r="F229" s="35">
        <v>46102</v>
      </c>
      <c r="G229" s="34" t="s">
        <v>1786</v>
      </c>
      <c r="H229" s="34" t="s">
        <v>1775</v>
      </c>
      <c r="I229" t="s">
        <v>488</v>
      </c>
      <c r="J229" s="36"/>
      <c r="K229" s="36"/>
      <c r="L229" s="36"/>
      <c r="M229" s="36"/>
      <c r="N229" s="34" t="s">
        <v>1787</v>
      </c>
      <c r="O229" s="36">
        <v>19000</v>
      </c>
      <c r="P229" s="36">
        <f>2305+1731+2948+1578+2836+1589</f>
        <v>12987</v>
      </c>
      <c r="Q229" s="45">
        <f>P229/O229</f>
        <v>0.68352631578947365</v>
      </c>
      <c r="R229" s="36"/>
      <c r="S229" s="37"/>
      <c r="T229" s="34"/>
      <c r="U229" s="34"/>
    </row>
    <row r="230" spans="1:21" ht="14.5" x14ac:dyDescent="0.35">
      <c r="A230" t="s">
        <v>581</v>
      </c>
      <c r="B230" t="s">
        <v>40</v>
      </c>
      <c r="D230" t="s">
        <v>582</v>
      </c>
      <c r="E230" t="s">
        <v>583</v>
      </c>
      <c r="F230" s="4">
        <v>46306</v>
      </c>
      <c r="G230" t="s">
        <v>584</v>
      </c>
      <c r="I230" t="s">
        <v>22</v>
      </c>
      <c r="J230" t="s">
        <v>35</v>
      </c>
      <c r="K230" t="s">
        <v>35</v>
      </c>
      <c r="N230">
        <v>8</v>
      </c>
      <c r="O230" s="15">
        <v>15000</v>
      </c>
      <c r="P230" s="38">
        <f>18+5692+23+7222</f>
        <v>12955</v>
      </c>
      <c r="Q230" s="45">
        <f>P230/O230</f>
        <v>0.86366666666666669</v>
      </c>
    </row>
    <row r="231" spans="1:21" ht="14.5" x14ac:dyDescent="0.35">
      <c r="A231" t="s">
        <v>72</v>
      </c>
      <c r="B231" t="s">
        <v>40</v>
      </c>
      <c r="D231" t="s">
        <v>585</v>
      </c>
      <c r="E231" t="s">
        <v>586</v>
      </c>
      <c r="G231" t="s">
        <v>38</v>
      </c>
      <c r="H231" t="s">
        <v>21</v>
      </c>
      <c r="I231" t="s">
        <v>22</v>
      </c>
      <c r="J231" t="s">
        <v>35</v>
      </c>
      <c r="N231" t="s">
        <v>587</v>
      </c>
      <c r="O231" s="15">
        <v>18000</v>
      </c>
      <c r="P231" s="38">
        <f>481+3268+3367+5650</f>
        <v>12766</v>
      </c>
      <c r="Q231" s="45">
        <f>P231/O231</f>
        <v>0.7092222222222222</v>
      </c>
      <c r="U231" t="s">
        <v>588</v>
      </c>
    </row>
    <row r="232" spans="1:21" ht="14.5" x14ac:dyDescent="0.35">
      <c r="A232" t="s">
        <v>499</v>
      </c>
      <c r="B232" t="s">
        <v>201</v>
      </c>
      <c r="D232" t="s">
        <v>500</v>
      </c>
      <c r="E232" t="s">
        <v>589</v>
      </c>
      <c r="F232" s="4">
        <v>46131</v>
      </c>
      <c r="G232" t="s">
        <v>3</v>
      </c>
      <c r="H232" t="s">
        <v>21</v>
      </c>
      <c r="I232" t="s">
        <v>22</v>
      </c>
      <c r="K232">
        <v>4888</v>
      </c>
      <c r="L232">
        <v>7578</v>
      </c>
      <c r="O232" s="30">
        <v>14000</v>
      </c>
      <c r="P232" s="40">
        <f>4889+7578</f>
        <v>12467</v>
      </c>
      <c r="Q232" s="45">
        <f>P232/O232</f>
        <v>0.89049999999999996</v>
      </c>
      <c r="R232" s="30"/>
      <c r="S232" s="30"/>
      <c r="T232" s="7">
        <v>2006</v>
      </c>
    </row>
    <row r="233" spans="1:21" ht="14.5" x14ac:dyDescent="0.35">
      <c r="A233" t="s">
        <v>24</v>
      </c>
      <c r="B233" t="s">
        <v>25</v>
      </c>
      <c r="D233" s="16" t="s">
        <v>590</v>
      </c>
      <c r="E233" s="16" t="s">
        <v>591</v>
      </c>
      <c r="F233" s="17">
        <v>45991</v>
      </c>
      <c r="G233" s="28" t="s">
        <v>592</v>
      </c>
      <c r="I233" t="s">
        <v>22</v>
      </c>
      <c r="K233" t="s">
        <v>35</v>
      </c>
      <c r="L233" t="s">
        <v>35</v>
      </c>
      <c r="M233" t="s">
        <v>35</v>
      </c>
      <c r="O233" s="15">
        <v>15000</v>
      </c>
      <c r="P233" s="38">
        <f>O233-O233*0.17</f>
        <v>12450</v>
      </c>
      <c r="Q233" s="45">
        <f>P233/O233</f>
        <v>0.83</v>
      </c>
    </row>
    <row r="234" spans="1:21" ht="14.5" x14ac:dyDescent="0.35">
      <c r="A234" t="s">
        <v>24</v>
      </c>
      <c r="B234" t="s">
        <v>25</v>
      </c>
      <c r="D234" s="16" t="s">
        <v>595</v>
      </c>
      <c r="E234" s="16" t="s">
        <v>596</v>
      </c>
      <c r="F234" s="17">
        <v>46006</v>
      </c>
      <c r="G234" s="28" t="s">
        <v>597</v>
      </c>
      <c r="I234" t="s">
        <v>22</v>
      </c>
      <c r="K234" t="s">
        <v>35</v>
      </c>
      <c r="L234" t="s">
        <v>35</v>
      </c>
      <c r="O234" s="15">
        <v>15000</v>
      </c>
      <c r="P234" s="38">
        <f>O234-O234*0.17</f>
        <v>12450</v>
      </c>
      <c r="Q234" s="45">
        <f>P234/O234</f>
        <v>0.83</v>
      </c>
    </row>
    <row r="235" spans="1:21" ht="14.5" x14ac:dyDescent="0.35">
      <c r="A235" t="s">
        <v>24</v>
      </c>
      <c r="B235" t="s">
        <v>25</v>
      </c>
      <c r="D235" t="s">
        <v>281</v>
      </c>
      <c r="E235" s="16" t="s">
        <v>593</v>
      </c>
      <c r="F235" s="17">
        <v>45991</v>
      </c>
      <c r="G235" s="28" t="s">
        <v>594</v>
      </c>
      <c r="I235" t="s">
        <v>22</v>
      </c>
      <c r="K235" t="s">
        <v>35</v>
      </c>
      <c r="L235" t="s">
        <v>35</v>
      </c>
      <c r="M235" t="s">
        <v>35</v>
      </c>
      <c r="N235">
        <v>3</v>
      </c>
      <c r="O235" s="15">
        <v>15000</v>
      </c>
      <c r="P235" s="38">
        <f>O235-O235*0.17</f>
        <v>12450</v>
      </c>
      <c r="Q235" s="45">
        <f>P235/O235</f>
        <v>0.83</v>
      </c>
    </row>
    <row r="236" spans="1:21" ht="14.5" x14ac:dyDescent="0.35">
      <c r="A236" t="s">
        <v>499</v>
      </c>
      <c r="B236" t="s">
        <v>201</v>
      </c>
      <c r="D236" t="s">
        <v>2102</v>
      </c>
      <c r="E236" t="s">
        <v>2103</v>
      </c>
      <c r="F236" s="4">
        <v>46145</v>
      </c>
      <c r="G236" t="s">
        <v>3</v>
      </c>
      <c r="H236" t="s">
        <v>21</v>
      </c>
      <c r="I236" t="s">
        <v>22</v>
      </c>
      <c r="K236" t="s">
        <v>35</v>
      </c>
      <c r="L236" t="s">
        <v>35</v>
      </c>
      <c r="M236" t="s">
        <v>35</v>
      </c>
      <c r="O236" s="15">
        <v>15000</v>
      </c>
      <c r="P236" s="38">
        <f>O236-O236*0.17</f>
        <v>12450</v>
      </c>
      <c r="Q236" s="45">
        <f>P236/O236</f>
        <v>0.83</v>
      </c>
    </row>
    <row r="237" spans="1:21" ht="14.5" x14ac:dyDescent="0.35">
      <c r="A237" t="s">
        <v>131</v>
      </c>
      <c r="B237" t="s">
        <v>25</v>
      </c>
      <c r="D237" t="s">
        <v>132</v>
      </c>
      <c r="E237" t="s">
        <v>2180</v>
      </c>
      <c r="F237" s="4">
        <v>46313</v>
      </c>
      <c r="G237" t="s">
        <v>3</v>
      </c>
      <c r="I237" t="s">
        <v>22</v>
      </c>
      <c r="K237" t="s">
        <v>35</v>
      </c>
      <c r="O237" s="15">
        <v>15000</v>
      </c>
      <c r="P237" s="38">
        <f>O237-O237*0.17</f>
        <v>12450</v>
      </c>
      <c r="Q237" s="45">
        <f>P237/O237</f>
        <v>0.83</v>
      </c>
      <c r="U237" t="s">
        <v>2181</v>
      </c>
    </row>
    <row r="238" spans="1:21" ht="14.5" x14ac:dyDescent="0.35">
      <c r="A238" t="s">
        <v>66</v>
      </c>
      <c r="B238" t="s">
        <v>40</v>
      </c>
      <c r="D238" t="s">
        <v>516</v>
      </c>
      <c r="E238" t="s">
        <v>598</v>
      </c>
      <c r="F238" s="4">
        <v>46320</v>
      </c>
      <c r="G238" t="s">
        <v>599</v>
      </c>
      <c r="H238" t="s">
        <v>48</v>
      </c>
      <c r="I238" t="s">
        <v>22</v>
      </c>
      <c r="J238" t="s">
        <v>35</v>
      </c>
      <c r="O238" s="15">
        <v>20000</v>
      </c>
      <c r="P238" s="38">
        <f>9500+2829</f>
        <v>12329</v>
      </c>
      <c r="Q238" s="45">
        <f>P238/O238</f>
        <v>0.61645000000000005</v>
      </c>
    </row>
    <row r="239" spans="1:21" ht="14.5" x14ac:dyDescent="0.35">
      <c r="A239" s="34" t="s">
        <v>44</v>
      </c>
      <c r="B239" s="34" t="s">
        <v>40</v>
      </c>
      <c r="C239" s="34" t="s">
        <v>2327</v>
      </c>
      <c r="D239" s="34" t="s">
        <v>1791</v>
      </c>
      <c r="E239" s="34" t="s">
        <v>1792</v>
      </c>
      <c r="F239" s="35">
        <v>46356</v>
      </c>
      <c r="G239" s="34" t="s">
        <v>38</v>
      </c>
      <c r="H239" s="34" t="s">
        <v>1775</v>
      </c>
      <c r="I239" s="34" t="s">
        <v>22</v>
      </c>
      <c r="J239" s="36">
        <v>9000</v>
      </c>
      <c r="K239" s="36"/>
      <c r="L239" s="36">
        <v>3500</v>
      </c>
      <c r="M239" s="34"/>
      <c r="N239" s="36" t="s">
        <v>1793</v>
      </c>
      <c r="O239" s="36">
        <v>16000</v>
      </c>
      <c r="P239" s="36">
        <f>7396+3031+933*2+10+4+9</f>
        <v>12316</v>
      </c>
      <c r="Q239" s="45">
        <f>P239/O239</f>
        <v>0.76975000000000005</v>
      </c>
      <c r="R239" s="36"/>
      <c r="S239" s="37"/>
      <c r="T239" s="34"/>
      <c r="U239" s="34"/>
    </row>
    <row r="240" spans="1:21" ht="14.5" x14ac:dyDescent="0.35">
      <c r="A240" t="s">
        <v>39</v>
      </c>
      <c r="B240" t="s">
        <v>40</v>
      </c>
      <c r="D240" t="s">
        <v>259</v>
      </c>
      <c r="E240" t="s">
        <v>600</v>
      </c>
      <c r="G240" t="s">
        <v>78</v>
      </c>
      <c r="H240" t="s">
        <v>21</v>
      </c>
      <c r="I240" t="s">
        <v>22</v>
      </c>
      <c r="K240">
        <v>4697</v>
      </c>
      <c r="L240">
        <v>4498</v>
      </c>
      <c r="O240" s="15">
        <v>25000</v>
      </c>
      <c r="P240" s="38">
        <v>12299</v>
      </c>
      <c r="Q240" s="45">
        <f>P240/O240</f>
        <v>0.49196000000000001</v>
      </c>
    </row>
    <row r="241" spans="1:21" ht="14.5" x14ac:dyDescent="0.35">
      <c r="A241" t="s">
        <v>66</v>
      </c>
      <c r="B241" t="s">
        <v>40</v>
      </c>
      <c r="D241" t="s">
        <v>521</v>
      </c>
      <c r="E241" t="s">
        <v>601</v>
      </c>
      <c r="F241" s="4">
        <v>46124</v>
      </c>
      <c r="G241" t="s">
        <v>3</v>
      </c>
      <c r="H241" t="s">
        <v>21</v>
      </c>
      <c r="I241" t="s">
        <v>22</v>
      </c>
      <c r="J241">
        <f>1133+329</f>
        <v>1462</v>
      </c>
      <c r="K241">
        <v>8523</v>
      </c>
      <c r="L241">
        <v>2232</v>
      </c>
      <c r="O241" s="15">
        <v>12300</v>
      </c>
      <c r="P241" s="38">
        <f>1464+8523+2232</f>
        <v>12219</v>
      </c>
      <c r="Q241" s="45">
        <f>P241/O241</f>
        <v>0.99341463414634146</v>
      </c>
    </row>
    <row r="242" spans="1:21" ht="14.5" x14ac:dyDescent="0.35">
      <c r="A242" t="s">
        <v>110</v>
      </c>
      <c r="B242" t="s">
        <v>31</v>
      </c>
      <c r="D242" t="s">
        <v>602</v>
      </c>
      <c r="E242" t="s">
        <v>603</v>
      </c>
      <c r="F242" s="4">
        <v>46306</v>
      </c>
      <c r="G242" t="s">
        <v>604</v>
      </c>
      <c r="H242" t="s">
        <v>21</v>
      </c>
      <c r="I242" t="s">
        <v>22</v>
      </c>
      <c r="J242" t="s">
        <v>35</v>
      </c>
      <c r="K242" t="s">
        <v>35</v>
      </c>
      <c r="M242" t="s">
        <v>35</v>
      </c>
      <c r="N242">
        <v>8</v>
      </c>
      <c r="O242" s="15">
        <v>15000</v>
      </c>
      <c r="P242" s="38">
        <f>3220+5468+2689+797</f>
        <v>12174</v>
      </c>
      <c r="Q242" s="45">
        <f>P242/O242</f>
        <v>0.81159999999999999</v>
      </c>
    </row>
    <row r="243" spans="1:21" ht="14.5" x14ac:dyDescent="0.35">
      <c r="A243" t="s">
        <v>66</v>
      </c>
      <c r="B243" t="s">
        <v>40</v>
      </c>
      <c r="D243" t="s">
        <v>371</v>
      </c>
      <c r="E243" t="s">
        <v>605</v>
      </c>
      <c r="F243" s="4">
        <v>46208</v>
      </c>
      <c r="G243" t="s">
        <v>606</v>
      </c>
      <c r="H243" t="s">
        <v>21</v>
      </c>
      <c r="I243" t="s">
        <v>22</v>
      </c>
      <c r="K243" t="s">
        <v>35</v>
      </c>
      <c r="L243" t="s">
        <v>35</v>
      </c>
      <c r="M243" t="s">
        <v>35</v>
      </c>
      <c r="O243" s="15">
        <v>9000</v>
      </c>
      <c r="P243" s="38">
        <f>5718+4763+1599</f>
        <v>12080</v>
      </c>
      <c r="Q243" s="45">
        <f>P243/O243</f>
        <v>1.3422222222222222</v>
      </c>
    </row>
    <row r="244" spans="1:21" ht="14.5" x14ac:dyDescent="0.35">
      <c r="A244" t="s">
        <v>538</v>
      </c>
      <c r="B244" t="s">
        <v>25</v>
      </c>
      <c r="D244" t="s">
        <v>105</v>
      </c>
      <c r="E244" t="s">
        <v>607</v>
      </c>
      <c r="F244" s="4">
        <v>46117</v>
      </c>
      <c r="G244" t="s">
        <v>608</v>
      </c>
      <c r="I244" t="s">
        <v>22</v>
      </c>
      <c r="K244" t="s">
        <v>35</v>
      </c>
      <c r="L244" t="s">
        <v>35</v>
      </c>
      <c r="M244" t="s">
        <v>35</v>
      </c>
      <c r="O244" s="15">
        <v>20000</v>
      </c>
      <c r="P244" s="38">
        <v>11969</v>
      </c>
      <c r="Q244" s="45">
        <f>P244/O244</f>
        <v>0.59845000000000004</v>
      </c>
    </row>
    <row r="245" spans="1:21" ht="14.5" x14ac:dyDescent="0.35">
      <c r="A245" t="s">
        <v>66</v>
      </c>
      <c r="B245" t="s">
        <v>40</v>
      </c>
      <c r="D245" t="s">
        <v>609</v>
      </c>
      <c r="E245" t="s">
        <v>610</v>
      </c>
      <c r="F245" s="4">
        <v>46320</v>
      </c>
      <c r="G245" t="s">
        <v>610</v>
      </c>
      <c r="H245" t="s">
        <v>21</v>
      </c>
      <c r="I245" t="s">
        <v>22</v>
      </c>
      <c r="J245">
        <f>1631+453</f>
        <v>2084</v>
      </c>
      <c r="K245">
        <f>3767+2401</f>
        <v>6168</v>
      </c>
      <c r="L245">
        <f>945+1055</f>
        <v>2000</v>
      </c>
      <c r="M245">
        <f>615+496</f>
        <v>1111</v>
      </c>
      <c r="N245" t="s">
        <v>495</v>
      </c>
      <c r="O245" s="15">
        <v>13000</v>
      </c>
      <c r="P245" s="38">
        <f>SUM(J245:M245)+115*4+19*4+16*4</f>
        <v>11963</v>
      </c>
      <c r="Q245" s="45">
        <f>P245/O245</f>
        <v>0.92023076923076919</v>
      </c>
    </row>
    <row r="246" spans="1:21" ht="14.5" x14ac:dyDescent="0.35">
      <c r="A246" t="s">
        <v>266</v>
      </c>
      <c r="B246" t="s">
        <v>40</v>
      </c>
      <c r="D246" t="s">
        <v>267</v>
      </c>
      <c r="E246" t="s">
        <v>611</v>
      </c>
      <c r="F246" s="4">
        <v>46145</v>
      </c>
      <c r="G246" t="s">
        <v>394</v>
      </c>
      <c r="H246" t="s">
        <v>21</v>
      </c>
      <c r="I246" t="s">
        <v>22</v>
      </c>
      <c r="K246" t="s">
        <v>35</v>
      </c>
      <c r="O246" s="15">
        <v>12000</v>
      </c>
      <c r="P246" s="38">
        <v>11835</v>
      </c>
      <c r="Q246" s="45">
        <f>P246/O246</f>
        <v>0.98624999999999996</v>
      </c>
    </row>
    <row r="247" spans="1:21" ht="14.5" x14ac:dyDescent="0.35">
      <c r="A247" t="s">
        <v>16</v>
      </c>
      <c r="B247" t="s">
        <v>17</v>
      </c>
      <c r="D247" t="s">
        <v>612</v>
      </c>
      <c r="E247" t="s">
        <v>613</v>
      </c>
      <c r="F247" s="4">
        <v>46236</v>
      </c>
      <c r="G247" t="s">
        <v>614</v>
      </c>
      <c r="H247" t="s">
        <v>21</v>
      </c>
      <c r="I247" t="s">
        <v>22</v>
      </c>
      <c r="K247" t="s">
        <v>35</v>
      </c>
      <c r="L247" t="s">
        <v>35</v>
      </c>
      <c r="M247" t="s">
        <v>35</v>
      </c>
      <c r="O247" s="15">
        <v>15000</v>
      </c>
      <c r="P247" s="38">
        <f>2402+5923+2565+944</f>
        <v>11834</v>
      </c>
      <c r="Q247" s="45">
        <f>P247/O247</f>
        <v>0.78893333333333338</v>
      </c>
    </row>
    <row r="248" spans="1:21" ht="14.5" x14ac:dyDescent="0.35">
      <c r="A248" t="s">
        <v>66</v>
      </c>
      <c r="B248" t="s">
        <v>40</v>
      </c>
      <c r="D248" t="s">
        <v>615</v>
      </c>
      <c r="E248" t="s">
        <v>616</v>
      </c>
      <c r="F248" s="4">
        <v>46159</v>
      </c>
      <c r="G248" t="s">
        <v>38</v>
      </c>
      <c r="H248" t="s">
        <v>21</v>
      </c>
      <c r="I248" t="s">
        <v>22</v>
      </c>
      <c r="K248">
        <f>4746+2374</f>
        <v>7120</v>
      </c>
      <c r="L248">
        <f>1631+1690</f>
        <v>3321</v>
      </c>
      <c r="M248">
        <f>389+584</f>
        <v>973</v>
      </c>
      <c r="O248" s="15">
        <v>17000</v>
      </c>
      <c r="P248" s="38">
        <f>SUM(K248:M248)+112*3+14</f>
        <v>11764</v>
      </c>
      <c r="Q248" s="45">
        <f>P248/O248</f>
        <v>0.69199999999999995</v>
      </c>
      <c r="U248" t="s">
        <v>617</v>
      </c>
    </row>
    <row r="249" spans="1:21" ht="14.5" x14ac:dyDescent="0.35">
      <c r="A249" t="s">
        <v>66</v>
      </c>
      <c r="B249" t="s">
        <v>40</v>
      </c>
      <c r="D249" t="s">
        <v>67</v>
      </c>
      <c r="E249" t="s">
        <v>618</v>
      </c>
      <c r="F249" s="4">
        <v>46235</v>
      </c>
      <c r="G249" t="s">
        <v>69</v>
      </c>
      <c r="H249" t="s">
        <v>21</v>
      </c>
      <c r="I249" t="s">
        <v>22</v>
      </c>
      <c r="L249" t="s">
        <v>35</v>
      </c>
      <c r="M249" t="s">
        <v>35</v>
      </c>
      <c r="O249" s="15">
        <v>15000</v>
      </c>
      <c r="P249" s="38">
        <f>8906+2830</f>
        <v>11736</v>
      </c>
      <c r="Q249" s="45">
        <f>P249/O249</f>
        <v>0.78239999999999998</v>
      </c>
    </row>
    <row r="250" spans="1:21" ht="14.5" x14ac:dyDescent="0.35">
      <c r="A250" t="s">
        <v>181</v>
      </c>
      <c r="B250" t="s">
        <v>40</v>
      </c>
      <c r="D250" t="s">
        <v>619</v>
      </c>
      <c r="E250" t="s">
        <v>620</v>
      </c>
      <c r="F250" s="4">
        <v>46334</v>
      </c>
      <c r="G250" t="s">
        <v>38</v>
      </c>
      <c r="H250" t="s">
        <v>21</v>
      </c>
      <c r="I250" t="s">
        <v>22</v>
      </c>
      <c r="J250" t="s">
        <v>35</v>
      </c>
      <c r="K250" t="s">
        <v>35</v>
      </c>
      <c r="L250" t="s">
        <v>35</v>
      </c>
      <c r="O250" s="15">
        <v>16000</v>
      </c>
      <c r="P250" s="38">
        <f>112+2750+8872</f>
        <v>11734</v>
      </c>
      <c r="Q250" s="45">
        <f>P250/O250</f>
        <v>0.733375</v>
      </c>
      <c r="U250" t="s">
        <v>621</v>
      </c>
    </row>
    <row r="251" spans="1:21" ht="14.5" x14ac:dyDescent="0.35">
      <c r="A251" t="s">
        <v>16</v>
      </c>
      <c r="B251" t="s">
        <v>17</v>
      </c>
      <c r="D251" t="s">
        <v>622</v>
      </c>
      <c r="E251" t="s">
        <v>623</v>
      </c>
      <c r="F251" s="4">
        <v>46306</v>
      </c>
      <c r="G251" t="s">
        <v>624</v>
      </c>
      <c r="H251" t="s">
        <v>21</v>
      </c>
      <c r="I251" t="s">
        <v>22</v>
      </c>
      <c r="J251" t="s">
        <v>35</v>
      </c>
      <c r="K251" t="s">
        <v>35</v>
      </c>
      <c r="L251" t="s">
        <v>35</v>
      </c>
      <c r="N251">
        <v>4</v>
      </c>
      <c r="O251" s="15">
        <v>15200</v>
      </c>
      <c r="P251" s="38">
        <f>3020+3944+3435+1328</f>
        <v>11727</v>
      </c>
      <c r="Q251" s="45">
        <f>P251/O251</f>
        <v>0.77151315789473685</v>
      </c>
    </row>
    <row r="252" spans="1:21" ht="14.5" x14ac:dyDescent="0.35">
      <c r="A252" t="s">
        <v>72</v>
      </c>
      <c r="B252" t="s">
        <v>40</v>
      </c>
      <c r="D252" t="s">
        <v>625</v>
      </c>
      <c r="E252" t="s">
        <v>626</v>
      </c>
      <c r="F252" s="4">
        <v>46033</v>
      </c>
      <c r="G252" t="s">
        <v>75</v>
      </c>
      <c r="H252" t="s">
        <v>21</v>
      </c>
      <c r="I252" t="s">
        <v>22</v>
      </c>
      <c r="K252" t="s">
        <v>35</v>
      </c>
      <c r="O252" s="15">
        <v>16000</v>
      </c>
      <c r="P252" s="38">
        <f>10066+557+1002</f>
        <v>11625</v>
      </c>
      <c r="Q252" s="45">
        <f>P252/O252</f>
        <v>0.7265625</v>
      </c>
      <c r="T252">
        <v>1976</v>
      </c>
      <c r="U252" t="s">
        <v>627</v>
      </c>
    </row>
    <row r="253" spans="1:21" ht="14.5" x14ac:dyDescent="0.35">
      <c r="A253" t="s">
        <v>737</v>
      </c>
      <c r="B253" t="s">
        <v>25</v>
      </c>
      <c r="D253" t="s">
        <v>2055</v>
      </c>
      <c r="E253" t="s">
        <v>2056</v>
      </c>
      <c r="F253" s="4">
        <v>46348</v>
      </c>
      <c r="G253" t="s">
        <v>810</v>
      </c>
      <c r="I253" t="s">
        <v>22</v>
      </c>
      <c r="J253" t="s">
        <v>35</v>
      </c>
      <c r="K253" t="s">
        <v>35</v>
      </c>
      <c r="L253" t="s">
        <v>35</v>
      </c>
      <c r="M253" t="s">
        <v>35</v>
      </c>
      <c r="O253" s="15">
        <v>14000</v>
      </c>
      <c r="P253" s="38">
        <f>O253-O253*0.17</f>
        <v>11620</v>
      </c>
      <c r="Q253" s="45">
        <f>P253/O253</f>
        <v>0.83</v>
      </c>
    </row>
    <row r="254" spans="1:21" ht="14.5" x14ac:dyDescent="0.35">
      <c r="A254" s="26" t="s">
        <v>30</v>
      </c>
      <c r="B254" s="26" t="s">
        <v>31</v>
      </c>
      <c r="C254" s="26"/>
      <c r="D254" s="26" t="s">
        <v>2247</v>
      </c>
      <c r="E254" s="26" t="s">
        <v>2248</v>
      </c>
      <c r="F254" s="26"/>
      <c r="G254" t="s">
        <v>2249</v>
      </c>
      <c r="H254" s="26"/>
      <c r="I254" s="26" t="s">
        <v>22</v>
      </c>
      <c r="J254" s="26">
        <v>1962</v>
      </c>
      <c r="K254" s="26">
        <v>4500</v>
      </c>
      <c r="L254" s="26">
        <v>2283</v>
      </c>
      <c r="M254" s="26">
        <v>2721</v>
      </c>
      <c r="N254" s="26"/>
      <c r="O254" s="32"/>
      <c r="P254" s="49">
        <v>11466</v>
      </c>
      <c r="Q254" s="45" t="e">
        <f>P254/O254</f>
        <v>#DIV/0!</v>
      </c>
      <c r="R254" s="32"/>
      <c r="S254" s="32"/>
    </row>
    <row r="255" spans="1:21" ht="14.5" x14ac:dyDescent="0.35">
      <c r="A255" t="s">
        <v>66</v>
      </c>
      <c r="B255" t="s">
        <v>40</v>
      </c>
      <c r="D255" t="s">
        <v>628</v>
      </c>
      <c r="E255" t="s">
        <v>629</v>
      </c>
      <c r="F255" s="4">
        <v>46131</v>
      </c>
      <c r="G255" t="s">
        <v>630</v>
      </c>
      <c r="I255" t="s">
        <v>22</v>
      </c>
      <c r="J255" t="s">
        <v>35</v>
      </c>
      <c r="K255" t="s">
        <v>35</v>
      </c>
      <c r="L255" t="s">
        <v>35</v>
      </c>
      <c r="O255" s="15">
        <v>18000</v>
      </c>
      <c r="P255" s="38">
        <f>271+1065+3035+5066+914+1112</f>
        <v>11463</v>
      </c>
      <c r="Q255" s="45">
        <f>P255/O255</f>
        <v>0.63683333333333336</v>
      </c>
    </row>
    <row r="256" spans="1:21" ht="14.5" x14ac:dyDescent="0.35">
      <c r="A256" t="s">
        <v>72</v>
      </c>
      <c r="B256" t="s">
        <v>40</v>
      </c>
      <c r="D256" t="s">
        <v>128</v>
      </c>
      <c r="E256" t="s">
        <v>631</v>
      </c>
      <c r="F256" s="4">
        <v>46368</v>
      </c>
      <c r="G256" t="s">
        <v>130</v>
      </c>
      <c r="H256" t="s">
        <v>21</v>
      </c>
      <c r="I256" t="s">
        <v>22</v>
      </c>
      <c r="N256">
        <v>15</v>
      </c>
      <c r="O256" s="15">
        <v>15000</v>
      </c>
      <c r="P256" s="38">
        <v>11442</v>
      </c>
      <c r="Q256" s="45">
        <f>P256/O256</f>
        <v>0.76280000000000003</v>
      </c>
    </row>
    <row r="257" spans="1:21" ht="14.5" x14ac:dyDescent="0.35">
      <c r="A257" t="s">
        <v>72</v>
      </c>
      <c r="B257" t="s">
        <v>40</v>
      </c>
      <c r="D257" t="s">
        <v>632</v>
      </c>
      <c r="E257" t="s">
        <v>633</v>
      </c>
      <c r="F257" s="4">
        <v>46173</v>
      </c>
      <c r="G257" t="s">
        <v>130</v>
      </c>
      <c r="H257" t="s">
        <v>21</v>
      </c>
      <c r="I257" t="s">
        <v>22</v>
      </c>
      <c r="J257">
        <v>1614</v>
      </c>
      <c r="K257">
        <v>7147</v>
      </c>
      <c r="L257">
        <v>2640</v>
      </c>
      <c r="O257" s="15">
        <v>18500</v>
      </c>
      <c r="P257" s="38">
        <f>SUM(J257:L257)</f>
        <v>11401</v>
      </c>
      <c r="Q257" s="45">
        <f>P257/O257</f>
        <v>0.61627027027027026</v>
      </c>
    </row>
    <row r="258" spans="1:21" ht="14.5" x14ac:dyDescent="0.35">
      <c r="A258" t="s">
        <v>581</v>
      </c>
      <c r="B258" t="s">
        <v>40</v>
      </c>
      <c r="D258" t="s">
        <v>634</v>
      </c>
      <c r="E258" t="s">
        <v>635</v>
      </c>
      <c r="F258" s="4">
        <v>46384</v>
      </c>
      <c r="G258" t="s">
        <v>636</v>
      </c>
      <c r="H258" t="s">
        <v>21</v>
      </c>
      <c r="I258" t="s">
        <v>22</v>
      </c>
      <c r="L258" t="s">
        <v>35</v>
      </c>
      <c r="M258" t="s">
        <v>35</v>
      </c>
      <c r="O258" s="15">
        <v>15000</v>
      </c>
      <c r="P258" s="38">
        <v>11372</v>
      </c>
      <c r="Q258" s="45">
        <f>P258/O258</f>
        <v>0.75813333333333333</v>
      </c>
    </row>
    <row r="259" spans="1:21" ht="14.5" x14ac:dyDescent="0.35">
      <c r="A259" t="s">
        <v>63</v>
      </c>
      <c r="B259" t="s">
        <v>40</v>
      </c>
      <c r="D259" t="s">
        <v>387</v>
      </c>
      <c r="E259" t="s">
        <v>637</v>
      </c>
      <c r="F259" s="4">
        <v>46320</v>
      </c>
      <c r="G259" t="s">
        <v>637</v>
      </c>
      <c r="I259" t="s">
        <v>22</v>
      </c>
      <c r="J259">
        <f>1421+432</f>
        <v>1853</v>
      </c>
      <c r="K259">
        <f>2693+2111</f>
        <v>4804</v>
      </c>
      <c r="L259">
        <f>2157+2491</f>
        <v>4648</v>
      </c>
      <c r="O259" s="15">
        <v>14000</v>
      </c>
      <c r="P259" s="38">
        <f>1421+432+2693+2111+2157+2491</f>
        <v>11305</v>
      </c>
      <c r="Q259" s="45">
        <f>P259/O259</f>
        <v>0.8075</v>
      </c>
    </row>
    <row r="260" spans="1:21" ht="14.5" x14ac:dyDescent="0.35">
      <c r="A260" t="s">
        <v>24</v>
      </c>
      <c r="B260" t="s">
        <v>25</v>
      </c>
      <c r="D260" s="16" t="s">
        <v>638</v>
      </c>
      <c r="E260" s="16" t="s">
        <v>639</v>
      </c>
      <c r="F260" s="17">
        <v>46033</v>
      </c>
      <c r="G260" s="28" t="s">
        <v>640</v>
      </c>
      <c r="I260" t="s">
        <v>22</v>
      </c>
      <c r="K260" t="s">
        <v>35</v>
      </c>
      <c r="L260" t="s">
        <v>35</v>
      </c>
      <c r="M260" t="s">
        <v>35</v>
      </c>
      <c r="O260" s="30">
        <v>13500</v>
      </c>
      <c r="P260" s="38">
        <f>O260-O260*0.17</f>
        <v>11205</v>
      </c>
      <c r="Q260" s="45">
        <f>P260/O260</f>
        <v>0.83</v>
      </c>
    </row>
    <row r="261" spans="1:21" ht="14.5" x14ac:dyDescent="0.35">
      <c r="A261" t="s">
        <v>421</v>
      </c>
      <c r="B261" t="s">
        <v>201</v>
      </c>
      <c r="D261" t="s">
        <v>720</v>
      </c>
      <c r="E261" t="s">
        <v>2188</v>
      </c>
      <c r="F261" s="4">
        <v>46061</v>
      </c>
      <c r="G261" t="s">
        <v>2189</v>
      </c>
      <c r="I261" t="s">
        <v>22</v>
      </c>
      <c r="K261" t="s">
        <v>35</v>
      </c>
      <c r="P261" s="38">
        <v>11205</v>
      </c>
      <c r="Q261" s="45" t="e">
        <f>P261/O261</f>
        <v>#DIV/0!</v>
      </c>
    </row>
    <row r="262" spans="1:21" ht="14.5" x14ac:dyDescent="0.35">
      <c r="A262" t="s">
        <v>641</v>
      </c>
      <c r="B262" t="s">
        <v>81</v>
      </c>
      <c r="D262" t="s">
        <v>642</v>
      </c>
      <c r="E262" t="s">
        <v>643</v>
      </c>
      <c r="F262" s="4">
        <v>46047</v>
      </c>
      <c r="G262" t="s">
        <v>38</v>
      </c>
      <c r="H262" t="s">
        <v>21</v>
      </c>
      <c r="I262" t="s">
        <v>22</v>
      </c>
      <c r="J262" t="s">
        <v>35</v>
      </c>
      <c r="K262" t="s">
        <v>35</v>
      </c>
      <c r="O262" s="15">
        <v>15000</v>
      </c>
      <c r="P262" s="38">
        <f>1397+256+7442+2069</f>
        <v>11164</v>
      </c>
      <c r="Q262" s="45">
        <f>P262/O262</f>
        <v>0.74426666666666663</v>
      </c>
      <c r="U262" t="s">
        <v>644</v>
      </c>
    </row>
    <row r="263" spans="1:21" ht="14.5" x14ac:dyDescent="0.35">
      <c r="A263" t="s">
        <v>66</v>
      </c>
      <c r="B263" t="s">
        <v>40</v>
      </c>
      <c r="D263" t="s">
        <v>645</v>
      </c>
      <c r="E263" t="s">
        <v>646</v>
      </c>
      <c r="F263" s="4">
        <v>46116</v>
      </c>
      <c r="G263" t="s">
        <v>3</v>
      </c>
      <c r="H263" t="s">
        <v>21</v>
      </c>
      <c r="I263" t="s">
        <v>22</v>
      </c>
      <c r="K263">
        <v>3055</v>
      </c>
      <c r="L263">
        <v>4529</v>
      </c>
      <c r="M263">
        <v>3357</v>
      </c>
      <c r="O263" s="15">
        <v>12000</v>
      </c>
      <c r="P263" s="38">
        <f>4529+3557+3055</f>
        <v>11141</v>
      </c>
      <c r="Q263" s="45">
        <f>P263/O263</f>
        <v>0.92841666666666667</v>
      </c>
    </row>
    <row r="264" spans="1:21" ht="14.5" x14ac:dyDescent="0.35">
      <c r="A264" s="26" t="s">
        <v>39</v>
      </c>
      <c r="B264" s="26" t="s">
        <v>40</v>
      </c>
      <c r="C264" s="26"/>
      <c r="D264" s="26" t="s">
        <v>754</v>
      </c>
      <c r="E264" s="26" t="s">
        <v>2242</v>
      </c>
      <c r="F264" s="27">
        <v>46077</v>
      </c>
      <c r="G264" t="s">
        <v>43</v>
      </c>
      <c r="H264" s="26"/>
      <c r="I264" s="26" t="s">
        <v>22</v>
      </c>
      <c r="J264" s="26"/>
      <c r="K264" s="26" t="s">
        <v>35</v>
      </c>
      <c r="L264" s="26"/>
      <c r="M264" s="26"/>
      <c r="N264" s="26"/>
      <c r="O264" s="32"/>
      <c r="P264" s="49">
        <v>11133</v>
      </c>
      <c r="Q264" s="45" t="e">
        <f>P264/O264</f>
        <v>#DIV/0!</v>
      </c>
      <c r="R264" s="32"/>
      <c r="S264" s="32"/>
    </row>
    <row r="265" spans="1:21" ht="14.5" x14ac:dyDescent="0.35">
      <c r="A265" s="34" t="s">
        <v>44</v>
      </c>
      <c r="B265" s="34" t="s">
        <v>40</v>
      </c>
      <c r="C265" s="34" t="s">
        <v>2328</v>
      </c>
      <c r="D265" s="34" t="s">
        <v>1818</v>
      </c>
      <c r="E265" s="34" t="s">
        <v>1819</v>
      </c>
      <c r="F265" s="35">
        <v>46131</v>
      </c>
      <c r="G265" s="34" t="s">
        <v>38</v>
      </c>
      <c r="H265" s="34" t="s">
        <v>1775</v>
      </c>
      <c r="I265" s="34" t="s">
        <v>22</v>
      </c>
      <c r="J265" s="36">
        <v>4500</v>
      </c>
      <c r="K265" s="36" t="s">
        <v>333</v>
      </c>
      <c r="L265" s="36" t="s">
        <v>333</v>
      </c>
      <c r="M265" s="36" t="s">
        <v>333</v>
      </c>
      <c r="N265" s="36" t="s">
        <v>1820</v>
      </c>
      <c r="O265" s="36">
        <v>13000</v>
      </c>
      <c r="P265" s="36">
        <f>3705+1+4004+2533+1+776</f>
        <v>11020</v>
      </c>
      <c r="Q265" s="45">
        <f>P265/O265</f>
        <v>0.84769230769230774</v>
      </c>
      <c r="R265" s="36"/>
      <c r="S265" s="37"/>
      <c r="T265" s="34"/>
      <c r="U265" s="34"/>
    </row>
    <row r="266" spans="1:21" ht="14.5" x14ac:dyDescent="0.35">
      <c r="A266" s="34" t="s">
        <v>44</v>
      </c>
      <c r="B266" s="34" t="s">
        <v>40</v>
      </c>
      <c r="C266" s="34" t="s">
        <v>2318</v>
      </c>
      <c r="D266" s="34" t="s">
        <v>45</v>
      </c>
      <c r="E266" s="34" t="s">
        <v>2329</v>
      </c>
      <c r="F266" s="35">
        <v>46040</v>
      </c>
      <c r="G266" s="34" t="s">
        <v>47</v>
      </c>
      <c r="H266" s="34" t="s">
        <v>1775</v>
      </c>
      <c r="I266" s="34" t="s">
        <v>22</v>
      </c>
      <c r="J266" s="36"/>
      <c r="K266" s="36"/>
      <c r="L266" s="36">
        <v>12250</v>
      </c>
      <c r="M266" s="36"/>
      <c r="N266" s="34"/>
      <c r="O266" s="40" t="s">
        <v>2330</v>
      </c>
      <c r="P266" s="40">
        <v>10984</v>
      </c>
      <c r="Q266" s="45" t="e">
        <f>P266/O266</f>
        <v>#VALUE!</v>
      </c>
      <c r="R266" s="36">
        <v>12250</v>
      </c>
      <c r="S266" s="37"/>
      <c r="T266" s="34"/>
      <c r="U266" s="34"/>
    </row>
    <row r="267" spans="1:21" ht="14.5" x14ac:dyDescent="0.35">
      <c r="A267" t="s">
        <v>30</v>
      </c>
      <c r="B267" t="s">
        <v>31</v>
      </c>
      <c r="D267" t="s">
        <v>647</v>
      </c>
      <c r="E267" t="s">
        <v>648</v>
      </c>
      <c r="F267" s="4">
        <v>46096</v>
      </c>
      <c r="G267" t="s">
        <v>113</v>
      </c>
      <c r="I267" t="s">
        <v>22</v>
      </c>
      <c r="K267" t="s">
        <v>35</v>
      </c>
      <c r="M267" t="s">
        <v>35</v>
      </c>
      <c r="N267">
        <v>8</v>
      </c>
      <c r="O267" s="15">
        <v>17000</v>
      </c>
      <c r="P267" s="38">
        <f>3734+2895+4300</f>
        <v>10929</v>
      </c>
      <c r="Q267" s="45">
        <f>P267/O267</f>
        <v>0.64288235294117646</v>
      </c>
    </row>
    <row r="268" spans="1:21" ht="14.5" x14ac:dyDescent="0.35">
      <c r="A268" t="s">
        <v>124</v>
      </c>
      <c r="B268" t="s">
        <v>40</v>
      </c>
      <c r="D268" t="s">
        <v>219</v>
      </c>
      <c r="E268" t="s">
        <v>649</v>
      </c>
      <c r="F268" s="4">
        <v>46387</v>
      </c>
      <c r="G268" t="s">
        <v>3</v>
      </c>
      <c r="H268" t="s">
        <v>21</v>
      </c>
      <c r="I268" t="s">
        <v>22</v>
      </c>
      <c r="L268" t="s">
        <v>35</v>
      </c>
      <c r="M268" t="s">
        <v>35</v>
      </c>
      <c r="O268" s="15">
        <v>13000</v>
      </c>
      <c r="P268" s="38">
        <f>10855+63</f>
        <v>10918</v>
      </c>
      <c r="Q268" s="45">
        <f>P268/O268</f>
        <v>0.8398461538461538</v>
      </c>
    </row>
    <row r="269" spans="1:21" ht="14.5" x14ac:dyDescent="0.35">
      <c r="A269" s="34" t="s">
        <v>44</v>
      </c>
      <c r="B269" s="34" t="s">
        <v>40</v>
      </c>
      <c r="C269" s="34" t="s">
        <v>2324</v>
      </c>
      <c r="D269" s="34" t="s">
        <v>1810</v>
      </c>
      <c r="E269" s="34" t="s">
        <v>1811</v>
      </c>
      <c r="F269" s="35">
        <v>46293</v>
      </c>
      <c r="G269" s="34" t="s">
        <v>1812</v>
      </c>
      <c r="H269" s="34" t="s">
        <v>48</v>
      </c>
      <c r="I269" s="34" t="s">
        <v>22</v>
      </c>
      <c r="J269" s="36" t="s">
        <v>333</v>
      </c>
      <c r="K269" s="36" t="s">
        <v>333</v>
      </c>
      <c r="L269" s="36" t="s">
        <v>333</v>
      </c>
      <c r="M269" s="36" t="s">
        <v>333</v>
      </c>
      <c r="N269" s="34" t="s">
        <v>1813</v>
      </c>
      <c r="O269" s="36">
        <v>15000</v>
      </c>
      <c r="P269" s="36">
        <f>913+4732+108*4+4832</f>
        <v>10909</v>
      </c>
      <c r="Q269" s="45">
        <f>P269/O269</f>
        <v>0.72726666666666662</v>
      </c>
      <c r="R269" s="36"/>
      <c r="S269" s="37"/>
      <c r="T269" s="34"/>
      <c r="U269" s="34"/>
    </row>
    <row r="270" spans="1:21" ht="14.5" x14ac:dyDescent="0.35">
      <c r="A270" s="34" t="s">
        <v>44</v>
      </c>
      <c r="B270" s="34" t="s">
        <v>40</v>
      </c>
      <c r="C270" s="34" t="s">
        <v>2318</v>
      </c>
      <c r="D270" s="34" t="s">
        <v>1840</v>
      </c>
      <c r="E270" s="34" t="s">
        <v>1841</v>
      </c>
      <c r="F270" s="35">
        <v>46342</v>
      </c>
      <c r="G270" s="34" t="s">
        <v>165</v>
      </c>
      <c r="H270" s="34" t="s">
        <v>48</v>
      </c>
      <c r="I270" s="34" t="s">
        <v>22</v>
      </c>
      <c r="J270" s="36"/>
      <c r="K270" s="36" t="s">
        <v>333</v>
      </c>
      <c r="L270" s="36"/>
      <c r="M270" s="36"/>
      <c r="N270" s="34"/>
      <c r="O270" s="36">
        <v>12000</v>
      </c>
      <c r="P270" s="36">
        <v>10896</v>
      </c>
      <c r="Q270" s="45">
        <f>P270/O270</f>
        <v>0.90800000000000003</v>
      </c>
      <c r="R270" s="36"/>
      <c r="S270" s="37"/>
      <c r="T270" s="34"/>
      <c r="U270" s="34"/>
    </row>
    <row r="271" spans="1:21" ht="14.5" x14ac:dyDescent="0.35">
      <c r="A271" s="34" t="s">
        <v>44</v>
      </c>
      <c r="B271" s="34" t="s">
        <v>40</v>
      </c>
      <c r="C271" s="34" t="s">
        <v>2325</v>
      </c>
      <c r="D271" s="34" t="s">
        <v>1847</v>
      </c>
      <c r="E271" s="34" t="s">
        <v>1848</v>
      </c>
      <c r="F271" s="35">
        <v>46292</v>
      </c>
      <c r="G271" s="34" t="s">
        <v>400</v>
      </c>
      <c r="H271" s="34" t="s">
        <v>48</v>
      </c>
      <c r="I271" s="34" t="s">
        <v>956</v>
      </c>
      <c r="J271" s="36"/>
      <c r="K271" s="36"/>
      <c r="L271" s="36" t="s">
        <v>333</v>
      </c>
      <c r="M271" s="36"/>
      <c r="N271" s="34" t="s">
        <v>1849</v>
      </c>
      <c r="O271" s="36">
        <v>11500</v>
      </c>
      <c r="P271" s="36">
        <f>7260+3627</f>
        <v>10887</v>
      </c>
      <c r="Q271" s="45">
        <f>P271/O271</f>
        <v>0.94669565217391305</v>
      </c>
      <c r="R271" s="36"/>
      <c r="S271" s="37"/>
      <c r="T271" s="34"/>
      <c r="U271" s="34"/>
    </row>
    <row r="272" spans="1:21" ht="14.5" x14ac:dyDescent="0.35">
      <c r="A272" t="s">
        <v>581</v>
      </c>
      <c r="B272" t="s">
        <v>40</v>
      </c>
      <c r="D272" t="s">
        <v>582</v>
      </c>
      <c r="E272" t="s">
        <v>650</v>
      </c>
      <c r="F272" s="4">
        <v>46383</v>
      </c>
      <c r="G272" t="s">
        <v>651</v>
      </c>
      <c r="I272" t="s">
        <v>22</v>
      </c>
      <c r="L272" t="s">
        <v>35</v>
      </c>
      <c r="O272" s="15">
        <v>15000</v>
      </c>
      <c r="P272" s="38">
        <v>10868</v>
      </c>
      <c r="Q272" s="45">
        <f>P272/O272</f>
        <v>0.72453333333333336</v>
      </c>
    </row>
    <row r="273" spans="1:21" ht="14.5" x14ac:dyDescent="0.35">
      <c r="A273" t="s">
        <v>24</v>
      </c>
      <c r="B273" t="s">
        <v>25</v>
      </c>
      <c r="D273" t="s">
        <v>102</v>
      </c>
      <c r="E273" t="s">
        <v>652</v>
      </c>
      <c r="F273" s="4">
        <v>46075</v>
      </c>
      <c r="G273" s="28" t="s">
        <v>653</v>
      </c>
      <c r="H273" t="s">
        <v>21</v>
      </c>
      <c r="I273" t="s">
        <v>22</v>
      </c>
      <c r="J273" t="s">
        <v>35</v>
      </c>
      <c r="K273" t="s">
        <v>35</v>
      </c>
      <c r="L273" t="s">
        <v>35</v>
      </c>
      <c r="M273" t="s">
        <v>35</v>
      </c>
      <c r="O273" s="30">
        <v>30000</v>
      </c>
      <c r="P273" s="40">
        <f>2128+4487+4210</f>
        <v>10825</v>
      </c>
      <c r="Q273" s="45">
        <f>P273/O273</f>
        <v>0.36083333333333334</v>
      </c>
      <c r="R273" s="30"/>
      <c r="S273" s="30"/>
    </row>
    <row r="274" spans="1:21" ht="14.5" x14ac:dyDescent="0.35">
      <c r="A274" t="s">
        <v>131</v>
      </c>
      <c r="B274" t="s">
        <v>25</v>
      </c>
      <c r="D274" t="s">
        <v>446</v>
      </c>
      <c r="E274" t="s">
        <v>654</v>
      </c>
      <c r="F274" s="4">
        <v>46300</v>
      </c>
      <c r="G274" t="s">
        <v>3</v>
      </c>
      <c r="H274" t="s">
        <v>21</v>
      </c>
      <c r="I274" t="s">
        <v>22</v>
      </c>
      <c r="K274" t="s">
        <v>35</v>
      </c>
      <c r="L274" t="s">
        <v>35</v>
      </c>
      <c r="M274" t="s">
        <v>35</v>
      </c>
      <c r="O274" s="30">
        <v>13000</v>
      </c>
      <c r="P274" s="38">
        <f>O274-O274*0.17</f>
        <v>10790</v>
      </c>
      <c r="Q274" s="45">
        <f>P274/O274</f>
        <v>0.83</v>
      </c>
    </row>
    <row r="275" spans="1:21" ht="14.5" x14ac:dyDescent="0.35">
      <c r="A275" t="s">
        <v>131</v>
      </c>
      <c r="B275" t="s">
        <v>25</v>
      </c>
      <c r="D275" t="s">
        <v>655</v>
      </c>
      <c r="E275" t="s">
        <v>656</v>
      </c>
      <c r="F275" s="4">
        <v>46335</v>
      </c>
      <c r="I275" t="s">
        <v>22</v>
      </c>
      <c r="J275" t="s">
        <v>35</v>
      </c>
      <c r="O275" s="30">
        <v>13000</v>
      </c>
      <c r="P275" s="38">
        <f>O275-O275*0.17</f>
        <v>10790</v>
      </c>
      <c r="Q275" s="45">
        <f>P275/O275</f>
        <v>0.83</v>
      </c>
    </row>
    <row r="276" spans="1:21" ht="14.5" x14ac:dyDescent="0.35">
      <c r="A276" t="s">
        <v>657</v>
      </c>
      <c r="B276" t="s">
        <v>40</v>
      </c>
      <c r="D276" t="s">
        <v>657</v>
      </c>
      <c r="E276" t="s">
        <v>658</v>
      </c>
      <c r="F276" s="4">
        <v>46158</v>
      </c>
      <c r="G276" t="s">
        <v>659</v>
      </c>
      <c r="H276" t="s">
        <v>21</v>
      </c>
      <c r="I276" t="s">
        <v>22</v>
      </c>
      <c r="J276">
        <v>1692</v>
      </c>
      <c r="K276">
        <v>8410</v>
      </c>
      <c r="M276">
        <f>229*3</f>
        <v>687</v>
      </c>
      <c r="O276" s="15">
        <f>10141+2140+229*3</f>
        <v>12968</v>
      </c>
      <c r="P276" s="38">
        <f>1692+8410+229*3</f>
        <v>10789</v>
      </c>
      <c r="Q276" s="45">
        <f>P276/O276</f>
        <v>0.83197100555212833</v>
      </c>
      <c r="U276">
        <v>2005</v>
      </c>
    </row>
    <row r="277" spans="1:21" ht="14.5" x14ac:dyDescent="0.35">
      <c r="A277" s="26" t="s">
        <v>30</v>
      </c>
      <c r="B277" s="26" t="s">
        <v>31</v>
      </c>
      <c r="C277" s="26"/>
      <c r="D277" s="26" t="s">
        <v>2250</v>
      </c>
      <c r="E277" s="26" t="s">
        <v>2251</v>
      </c>
      <c r="F277" s="27">
        <v>46250</v>
      </c>
      <c r="G277" t="s">
        <v>2252</v>
      </c>
      <c r="H277" s="26"/>
      <c r="I277" s="26" t="s">
        <v>22</v>
      </c>
      <c r="J277" s="26"/>
      <c r="K277" s="26"/>
      <c r="L277" s="26"/>
      <c r="M277" s="26"/>
      <c r="N277" s="26"/>
      <c r="O277" s="32" t="s">
        <v>2253</v>
      </c>
      <c r="P277" s="49">
        <v>10783</v>
      </c>
      <c r="Q277" s="45" t="e">
        <f>P277/O277</f>
        <v>#VALUE!</v>
      </c>
      <c r="R277" s="32"/>
      <c r="S277" s="32"/>
    </row>
    <row r="278" spans="1:21" ht="14.5" x14ac:dyDescent="0.35">
      <c r="A278" s="26" t="s">
        <v>30</v>
      </c>
      <c r="B278" s="26" t="s">
        <v>31</v>
      </c>
      <c r="C278" s="26"/>
      <c r="D278" s="26" t="s">
        <v>2254</v>
      </c>
      <c r="E278" s="26" t="s">
        <v>2255</v>
      </c>
      <c r="F278" s="27">
        <v>46136</v>
      </c>
      <c r="H278" s="26"/>
      <c r="I278" s="26" t="s">
        <v>22</v>
      </c>
      <c r="J278" s="26" t="s">
        <v>35</v>
      </c>
      <c r="K278" s="26" t="s">
        <v>35</v>
      </c>
      <c r="L278" s="26"/>
      <c r="M278" s="26" t="s">
        <v>35</v>
      </c>
      <c r="N278" s="26"/>
      <c r="O278" s="32"/>
      <c r="P278" s="49">
        <v>10771</v>
      </c>
      <c r="Q278" s="45" t="e">
        <f>P278/O278</f>
        <v>#DIV/0!</v>
      </c>
      <c r="R278" s="32"/>
      <c r="S278" s="32"/>
    </row>
    <row r="279" spans="1:21" ht="14.5" x14ac:dyDescent="0.35">
      <c r="A279" t="s">
        <v>39</v>
      </c>
      <c r="B279" t="s">
        <v>40</v>
      </c>
      <c r="D279" t="s">
        <v>660</v>
      </c>
      <c r="E279" t="s">
        <v>661</v>
      </c>
      <c r="F279" s="4">
        <v>46152</v>
      </c>
      <c r="G279" t="s">
        <v>78</v>
      </c>
      <c r="H279" t="s">
        <v>21</v>
      </c>
      <c r="I279" t="s">
        <v>22</v>
      </c>
      <c r="K279" t="s">
        <v>35</v>
      </c>
      <c r="L279" t="s">
        <v>35</v>
      </c>
      <c r="O279" s="15">
        <v>23000</v>
      </c>
      <c r="P279" s="38">
        <v>10770</v>
      </c>
      <c r="Q279" s="45">
        <f>P279/O279</f>
        <v>0.4682608695652174</v>
      </c>
    </row>
    <row r="280" spans="1:21" ht="14.5" x14ac:dyDescent="0.35">
      <c r="A280" t="s">
        <v>39</v>
      </c>
      <c r="B280" t="s">
        <v>40</v>
      </c>
      <c r="D280" t="s">
        <v>662</v>
      </c>
      <c r="E280" t="s">
        <v>663</v>
      </c>
      <c r="F280" s="4">
        <v>46166</v>
      </c>
      <c r="G280" t="s">
        <v>664</v>
      </c>
      <c r="H280" t="s">
        <v>21</v>
      </c>
      <c r="I280" t="s">
        <v>22</v>
      </c>
      <c r="J280" t="s">
        <v>35</v>
      </c>
      <c r="K280" t="s">
        <v>35</v>
      </c>
      <c r="N280" t="s">
        <v>495</v>
      </c>
      <c r="O280" s="15">
        <v>10000</v>
      </c>
      <c r="P280" s="38">
        <v>10631</v>
      </c>
      <c r="Q280" s="45">
        <f>P280/O280</f>
        <v>1.0630999999999999</v>
      </c>
      <c r="T280">
        <v>2003</v>
      </c>
    </row>
    <row r="281" spans="1:21" ht="14.5" x14ac:dyDescent="0.35">
      <c r="A281" t="s">
        <v>665</v>
      </c>
      <c r="B281" t="s">
        <v>40</v>
      </c>
      <c r="D281" t="s">
        <v>666</v>
      </c>
      <c r="E281" t="s">
        <v>667</v>
      </c>
      <c r="F281" s="4">
        <v>46299</v>
      </c>
      <c r="G281" t="s">
        <v>38</v>
      </c>
      <c r="H281" t="s">
        <v>48</v>
      </c>
      <c r="I281" t="s">
        <v>22</v>
      </c>
      <c r="O281" s="15">
        <v>13500</v>
      </c>
      <c r="P281" s="38">
        <f>44+309+483+1631+4629+3350+27*4</f>
        <v>10554</v>
      </c>
      <c r="Q281" s="45">
        <f>P281/O281</f>
        <v>0.78177777777777779</v>
      </c>
      <c r="U281" t="s">
        <v>668</v>
      </c>
    </row>
    <row r="282" spans="1:21" ht="14.5" x14ac:dyDescent="0.35">
      <c r="A282" t="s">
        <v>63</v>
      </c>
      <c r="B282" t="s">
        <v>40</v>
      </c>
      <c r="D282" t="s">
        <v>524</v>
      </c>
      <c r="E282" t="s">
        <v>669</v>
      </c>
      <c r="F282" s="4">
        <v>46320</v>
      </c>
      <c r="G282" t="s">
        <v>38</v>
      </c>
      <c r="H282" t="s">
        <v>21</v>
      </c>
      <c r="I282" t="s">
        <v>22</v>
      </c>
      <c r="J282">
        <f>729+2168</f>
        <v>2897</v>
      </c>
      <c r="K282">
        <f>2291+3585</f>
        <v>5876</v>
      </c>
      <c r="L282">
        <f>952+826</f>
        <v>1778</v>
      </c>
      <c r="O282" s="15">
        <v>13000</v>
      </c>
      <c r="P282" s="38">
        <f>SUM(J282:L282)</f>
        <v>10551</v>
      </c>
      <c r="Q282" s="45">
        <f>P282/O282</f>
        <v>0.81161538461538463</v>
      </c>
      <c r="U282" t="s">
        <v>670</v>
      </c>
    </row>
    <row r="283" spans="1:21" ht="14.5" x14ac:dyDescent="0.35">
      <c r="A283" t="s">
        <v>24</v>
      </c>
      <c r="B283" t="s">
        <v>25</v>
      </c>
      <c r="D283" s="16" t="s">
        <v>671</v>
      </c>
      <c r="E283" s="16" t="s">
        <v>672</v>
      </c>
      <c r="F283" s="17">
        <v>45984</v>
      </c>
      <c r="G283" s="28" t="s">
        <v>673</v>
      </c>
      <c r="I283" t="s">
        <v>22</v>
      </c>
      <c r="K283">
        <v>2586</v>
      </c>
      <c r="L283">
        <v>3300</v>
      </c>
      <c r="M283">
        <v>4535</v>
      </c>
      <c r="P283" s="38">
        <f>SUM(K283:M283)</f>
        <v>10421</v>
      </c>
      <c r="Q283" s="45" t="e">
        <f>P283/O283</f>
        <v>#DIV/0!</v>
      </c>
    </row>
    <row r="284" spans="1:21" ht="14.5" x14ac:dyDescent="0.35">
      <c r="A284" t="s">
        <v>39</v>
      </c>
      <c r="B284" t="s">
        <v>40</v>
      </c>
      <c r="D284" t="s">
        <v>674</v>
      </c>
      <c r="E284" t="s">
        <v>675</v>
      </c>
      <c r="F284" s="4">
        <v>46096</v>
      </c>
      <c r="G284" t="s">
        <v>676</v>
      </c>
      <c r="H284" t="s">
        <v>21</v>
      </c>
      <c r="I284" t="s">
        <v>22</v>
      </c>
      <c r="K284" t="s">
        <v>35</v>
      </c>
      <c r="N284" t="s">
        <v>677</v>
      </c>
      <c r="O284" s="15">
        <v>12000</v>
      </c>
      <c r="P284" s="38">
        <f>9947+446</f>
        <v>10393</v>
      </c>
      <c r="Q284" s="45">
        <f>P284/O284</f>
        <v>0.86608333333333332</v>
      </c>
    </row>
    <row r="285" spans="1:21" ht="14.5" x14ac:dyDescent="0.35">
      <c r="A285" s="34" t="s">
        <v>44</v>
      </c>
      <c r="B285" s="34" t="s">
        <v>40</v>
      </c>
      <c r="C285" s="34" t="s">
        <v>163</v>
      </c>
      <c r="D285" s="34" t="s">
        <v>163</v>
      </c>
      <c r="E285" s="34" t="s">
        <v>1929</v>
      </c>
      <c r="F285" s="35">
        <v>46206</v>
      </c>
      <c r="G285" s="34" t="s">
        <v>38</v>
      </c>
      <c r="H285" s="34" t="s">
        <v>1775</v>
      </c>
      <c r="I285" s="34" t="s">
        <v>22</v>
      </c>
      <c r="J285" s="36"/>
      <c r="K285" s="36"/>
      <c r="L285" s="36" t="s">
        <v>333</v>
      </c>
      <c r="M285" s="36"/>
      <c r="N285" s="34" t="s">
        <v>1930</v>
      </c>
      <c r="O285" s="36">
        <v>6000</v>
      </c>
      <c r="P285" s="36">
        <f>1026+4677+4674</f>
        <v>10377</v>
      </c>
      <c r="Q285" s="45">
        <f>P285/O285</f>
        <v>1.7295</v>
      </c>
      <c r="R285" s="38"/>
      <c r="S285" s="39"/>
      <c r="T285" s="34"/>
      <c r="U285" s="34"/>
    </row>
    <row r="286" spans="1:21" ht="14.5" x14ac:dyDescent="0.35">
      <c r="A286" s="26" t="s">
        <v>459</v>
      </c>
      <c r="B286" s="26" t="s">
        <v>25</v>
      </c>
      <c r="C286" s="26"/>
      <c r="D286" s="26" t="s">
        <v>2158</v>
      </c>
      <c r="E286" s="26" t="s">
        <v>2256</v>
      </c>
      <c r="F286" s="26"/>
      <c r="G286" t="s">
        <v>2160</v>
      </c>
      <c r="H286" s="26"/>
      <c r="I286" s="26" t="s">
        <v>22</v>
      </c>
      <c r="J286" s="26"/>
      <c r="K286" s="26" t="s">
        <v>35</v>
      </c>
      <c r="L286" s="26"/>
      <c r="M286" s="26"/>
      <c r="N286" s="26"/>
      <c r="O286" s="32"/>
      <c r="P286" s="49">
        <v>10354</v>
      </c>
      <c r="Q286" s="45" t="e">
        <f>P286/O286</f>
        <v>#DIV/0!</v>
      </c>
      <c r="R286" s="32"/>
      <c r="S286" s="32"/>
    </row>
    <row r="287" spans="1:21" ht="14.5" x14ac:dyDescent="0.35">
      <c r="A287" s="34" t="s">
        <v>44</v>
      </c>
      <c r="B287" s="34" t="s">
        <v>40</v>
      </c>
      <c r="C287" s="34" t="s">
        <v>1814</v>
      </c>
      <c r="D287" s="34" t="s">
        <v>1814</v>
      </c>
      <c r="E287" s="34" t="s">
        <v>1815</v>
      </c>
      <c r="F287" s="35">
        <v>46131</v>
      </c>
      <c r="G287" s="34" t="s">
        <v>165</v>
      </c>
      <c r="H287" s="35" t="s">
        <v>48</v>
      </c>
      <c r="I287" s="35" t="s">
        <v>22</v>
      </c>
      <c r="J287" s="36">
        <v>1500</v>
      </c>
      <c r="K287" s="36">
        <v>7000</v>
      </c>
      <c r="L287" s="36">
        <v>5000</v>
      </c>
      <c r="M287" s="36" t="s">
        <v>333</v>
      </c>
      <c r="N287" s="34" t="s">
        <v>1816</v>
      </c>
      <c r="O287" s="36">
        <v>14000</v>
      </c>
      <c r="P287" s="36">
        <f>1059+1071+4782+3401</f>
        <v>10313</v>
      </c>
      <c r="Q287" s="45">
        <f>P287/O287</f>
        <v>0.73664285714285715</v>
      </c>
      <c r="R287" s="36" t="s">
        <v>1817</v>
      </c>
      <c r="S287" s="37"/>
      <c r="T287" s="34"/>
      <c r="U287" s="34"/>
    </row>
    <row r="288" spans="1:21" ht="14.5" x14ac:dyDescent="0.35">
      <c r="A288" t="s">
        <v>30</v>
      </c>
      <c r="B288" t="s">
        <v>31</v>
      </c>
      <c r="D288" t="s">
        <v>678</v>
      </c>
      <c r="E288" t="s">
        <v>679</v>
      </c>
      <c r="F288" s="4">
        <v>46159</v>
      </c>
      <c r="G288" t="s">
        <v>38</v>
      </c>
      <c r="I288" t="s">
        <v>22</v>
      </c>
      <c r="J288">
        <v>2282</v>
      </c>
      <c r="K288">
        <v>6209</v>
      </c>
      <c r="N288" t="s">
        <v>123</v>
      </c>
      <c r="O288" s="15">
        <v>25000</v>
      </c>
      <c r="P288" s="38">
        <f>6209+2282+463+1280</f>
        <v>10234</v>
      </c>
      <c r="Q288" s="45">
        <f>P288/O288</f>
        <v>0.40936</v>
      </c>
      <c r="U288" t="s">
        <v>680</v>
      </c>
    </row>
    <row r="289" spans="1:21" ht="14.5" x14ac:dyDescent="0.35">
      <c r="A289" t="s">
        <v>30</v>
      </c>
      <c r="B289" t="s">
        <v>31</v>
      </c>
      <c r="D289" t="s">
        <v>681</v>
      </c>
      <c r="E289" t="s">
        <v>682</v>
      </c>
      <c r="F289" s="4">
        <v>46228</v>
      </c>
      <c r="G289" t="s">
        <v>683</v>
      </c>
      <c r="H289" t="s">
        <v>21</v>
      </c>
      <c r="I289" t="s">
        <v>22</v>
      </c>
      <c r="N289" t="s">
        <v>684</v>
      </c>
      <c r="P289" s="38">
        <f>7912+2230</f>
        <v>10142</v>
      </c>
      <c r="Q289" s="45" t="e">
        <f>P289/O289</f>
        <v>#DIV/0!</v>
      </c>
    </row>
    <row r="290" spans="1:21" ht="14.5" x14ac:dyDescent="0.35">
      <c r="A290" s="34" t="s">
        <v>44</v>
      </c>
      <c r="B290" s="34" t="s">
        <v>40</v>
      </c>
      <c r="C290" s="34" t="s">
        <v>2318</v>
      </c>
      <c r="D290" s="34" t="s">
        <v>685</v>
      </c>
      <c r="E290" s="34" t="s">
        <v>686</v>
      </c>
      <c r="F290" s="35">
        <v>46117</v>
      </c>
      <c r="G290" s="34" t="s">
        <v>165</v>
      </c>
      <c r="H290" s="34" t="s">
        <v>1775</v>
      </c>
      <c r="I290" s="34" t="s">
        <v>22</v>
      </c>
      <c r="J290" s="36"/>
      <c r="K290" s="36">
        <v>8500</v>
      </c>
      <c r="L290" s="36">
        <v>6500</v>
      </c>
      <c r="M290" s="36">
        <v>2000</v>
      </c>
      <c r="N290" s="34" t="s">
        <v>687</v>
      </c>
      <c r="O290" s="36">
        <v>17000</v>
      </c>
      <c r="P290" s="36">
        <f>4873+5245</f>
        <v>10118</v>
      </c>
      <c r="Q290" s="45">
        <f>P290/O290</f>
        <v>0.59517647058823531</v>
      </c>
      <c r="R290" s="36"/>
      <c r="S290" s="37"/>
      <c r="T290" s="34"/>
      <c r="U290" s="34"/>
    </row>
    <row r="291" spans="1:21" ht="14.5" x14ac:dyDescent="0.35">
      <c r="A291" s="34" t="s">
        <v>44</v>
      </c>
      <c r="B291" s="34" t="s">
        <v>40</v>
      </c>
      <c r="C291" s="34" t="s">
        <v>2331</v>
      </c>
      <c r="D291" s="34" t="s">
        <v>1835</v>
      </c>
      <c r="E291" s="34" t="s">
        <v>1836</v>
      </c>
      <c r="F291" s="35">
        <v>46152</v>
      </c>
      <c r="G291" s="34" t="s">
        <v>38</v>
      </c>
      <c r="H291" s="34" t="s">
        <v>1775</v>
      </c>
      <c r="I291" s="34" t="s">
        <v>22</v>
      </c>
      <c r="J291" s="36"/>
      <c r="K291" s="36" t="s">
        <v>333</v>
      </c>
      <c r="L291" s="36" t="s">
        <v>333</v>
      </c>
      <c r="M291" s="36" t="s">
        <v>333</v>
      </c>
      <c r="N291" s="36" t="s">
        <v>1837</v>
      </c>
      <c r="O291" s="36">
        <v>12000</v>
      </c>
      <c r="P291" s="36">
        <f>3811+7+3841+4+2434</f>
        <v>10097</v>
      </c>
      <c r="Q291" s="45">
        <f>P291/O291</f>
        <v>0.8414166666666667</v>
      </c>
      <c r="R291" s="36"/>
      <c r="S291" s="37"/>
      <c r="T291" s="34"/>
      <c r="U291" s="34"/>
    </row>
    <row r="292" spans="1:21" ht="14.5" x14ac:dyDescent="0.35">
      <c r="A292" t="s">
        <v>63</v>
      </c>
      <c r="B292" t="s">
        <v>40</v>
      </c>
      <c r="D292" t="s">
        <v>688</v>
      </c>
      <c r="E292" t="s">
        <v>689</v>
      </c>
      <c r="F292" s="4">
        <v>46284</v>
      </c>
      <c r="G292" t="s">
        <v>690</v>
      </c>
      <c r="I292" t="s">
        <v>22</v>
      </c>
      <c r="K292" t="s">
        <v>35</v>
      </c>
      <c r="L292" t="s">
        <v>35</v>
      </c>
      <c r="N292">
        <v>5.5</v>
      </c>
      <c r="P292" s="38">
        <f>2512+4940+1302+1218</f>
        <v>9972</v>
      </c>
      <c r="Q292" s="45" t="e">
        <f>P292/O292</f>
        <v>#DIV/0!</v>
      </c>
    </row>
    <row r="293" spans="1:21" ht="14.5" x14ac:dyDescent="0.35">
      <c r="A293" t="s">
        <v>98</v>
      </c>
      <c r="B293" t="s">
        <v>40</v>
      </c>
      <c r="D293" t="s">
        <v>691</v>
      </c>
      <c r="E293" t="s">
        <v>692</v>
      </c>
      <c r="F293" s="4">
        <v>46306</v>
      </c>
      <c r="G293" t="s">
        <v>130</v>
      </c>
      <c r="I293" t="s">
        <v>22</v>
      </c>
      <c r="J293" t="s">
        <v>35</v>
      </c>
      <c r="K293" t="s">
        <v>35</v>
      </c>
      <c r="O293" s="15">
        <v>12000</v>
      </c>
      <c r="P293" s="38">
        <f>2807+7155</f>
        <v>9962</v>
      </c>
      <c r="Q293" s="45">
        <f>P293/O293</f>
        <v>0.83016666666666672</v>
      </c>
    </row>
    <row r="294" spans="1:21" ht="14.5" x14ac:dyDescent="0.35">
      <c r="A294" t="s">
        <v>459</v>
      </c>
      <c r="B294" t="s">
        <v>25</v>
      </c>
      <c r="D294" t="s">
        <v>2158</v>
      </c>
      <c r="E294" t="s">
        <v>2159</v>
      </c>
      <c r="F294" s="4">
        <v>46278</v>
      </c>
      <c r="G294" t="s">
        <v>2160</v>
      </c>
      <c r="I294" t="s">
        <v>22</v>
      </c>
      <c r="L294" t="s">
        <v>35</v>
      </c>
      <c r="M294" t="s">
        <v>35</v>
      </c>
      <c r="O294" s="15">
        <v>12000</v>
      </c>
      <c r="P294" s="38">
        <f>O294-O294*0.17</f>
        <v>9960</v>
      </c>
      <c r="Q294" s="45">
        <f>P294/O294</f>
        <v>0.83</v>
      </c>
    </row>
    <row r="295" spans="1:21" ht="14.5" x14ac:dyDescent="0.35">
      <c r="A295" t="s">
        <v>24</v>
      </c>
      <c r="B295" t="s">
        <v>25</v>
      </c>
      <c r="D295" s="16" t="s">
        <v>695</v>
      </c>
      <c r="E295" s="16" t="s">
        <v>696</v>
      </c>
      <c r="F295" s="17">
        <v>46061</v>
      </c>
      <c r="G295" s="28" t="s">
        <v>697</v>
      </c>
      <c r="I295" t="s">
        <v>22</v>
      </c>
      <c r="K295" t="s">
        <v>35</v>
      </c>
      <c r="L295" t="s">
        <v>35</v>
      </c>
      <c r="O295" s="15">
        <v>12000</v>
      </c>
      <c r="P295" s="38">
        <f>O295-O295*0.17</f>
        <v>9960</v>
      </c>
      <c r="Q295" s="45">
        <f>P295/O295</f>
        <v>0.83</v>
      </c>
    </row>
    <row r="296" spans="1:21" ht="14.5" x14ac:dyDescent="0.35">
      <c r="A296" t="s">
        <v>272</v>
      </c>
      <c r="B296" t="s">
        <v>31</v>
      </c>
      <c r="D296" t="s">
        <v>693</v>
      </c>
      <c r="E296" t="s">
        <v>694</v>
      </c>
      <c r="F296" s="4">
        <v>46075</v>
      </c>
      <c r="G296" t="s">
        <v>3</v>
      </c>
      <c r="H296" t="s">
        <v>21</v>
      </c>
      <c r="I296" t="s">
        <v>22</v>
      </c>
      <c r="K296" t="s">
        <v>35</v>
      </c>
      <c r="O296" s="30">
        <v>12000</v>
      </c>
      <c r="P296" s="38">
        <f>O296-O296*0.17</f>
        <v>9960</v>
      </c>
      <c r="Q296" s="45">
        <f>P296/O296</f>
        <v>0.83</v>
      </c>
    </row>
    <row r="297" spans="1:21" ht="14.5" x14ac:dyDescent="0.35">
      <c r="A297" t="s">
        <v>737</v>
      </c>
      <c r="B297" t="s">
        <v>25</v>
      </c>
      <c r="D297" t="s">
        <v>2057</v>
      </c>
      <c r="E297" t="s">
        <v>2059</v>
      </c>
      <c r="F297" s="4">
        <v>46124</v>
      </c>
      <c r="G297" t="s">
        <v>2060</v>
      </c>
      <c r="I297" t="s">
        <v>22</v>
      </c>
      <c r="K297" t="s">
        <v>35</v>
      </c>
      <c r="M297" t="s">
        <v>35</v>
      </c>
      <c r="N297">
        <v>15</v>
      </c>
      <c r="O297" s="15">
        <v>12000</v>
      </c>
      <c r="P297" s="38">
        <f>O297-O297*0.17</f>
        <v>9960</v>
      </c>
      <c r="Q297" s="45">
        <f>P297/O297</f>
        <v>0.83</v>
      </c>
    </row>
    <row r="298" spans="1:21" ht="14.5" x14ac:dyDescent="0.35">
      <c r="A298" t="s">
        <v>196</v>
      </c>
      <c r="B298" t="s">
        <v>25</v>
      </c>
      <c r="D298" t="s">
        <v>2024</v>
      </c>
      <c r="E298" t="s">
        <v>2025</v>
      </c>
      <c r="F298" s="4">
        <v>46124</v>
      </c>
      <c r="I298" t="s">
        <v>22</v>
      </c>
      <c r="K298">
        <v>12000</v>
      </c>
      <c r="O298" s="15">
        <v>12000</v>
      </c>
      <c r="P298" s="38">
        <f>O298-O298*0.17</f>
        <v>9960</v>
      </c>
      <c r="Q298" s="45">
        <f>P298/O298</f>
        <v>0.83</v>
      </c>
    </row>
    <row r="299" spans="1:21" ht="14.5" x14ac:dyDescent="0.35">
      <c r="A299" t="s">
        <v>39</v>
      </c>
      <c r="B299" t="s">
        <v>40</v>
      </c>
      <c r="D299" t="s">
        <v>698</v>
      </c>
      <c r="E299" t="s">
        <v>699</v>
      </c>
      <c r="F299" s="4">
        <v>46306</v>
      </c>
      <c r="G299" t="s">
        <v>700</v>
      </c>
      <c r="H299" t="s">
        <v>21</v>
      </c>
      <c r="I299" t="s">
        <v>22</v>
      </c>
      <c r="K299" t="s">
        <v>35</v>
      </c>
      <c r="O299" s="15">
        <v>13000</v>
      </c>
      <c r="P299" s="38">
        <v>9947</v>
      </c>
      <c r="Q299" s="45">
        <f>P299/O299</f>
        <v>0.76515384615384618</v>
      </c>
    </row>
    <row r="300" spans="1:21" ht="14.5" x14ac:dyDescent="0.35">
      <c r="A300" s="34" t="s">
        <v>44</v>
      </c>
      <c r="B300" s="34" t="s">
        <v>40</v>
      </c>
      <c r="C300" s="34" t="s">
        <v>2323</v>
      </c>
      <c r="D300" s="34" t="s">
        <v>451</v>
      </c>
      <c r="E300" s="34" t="s">
        <v>1806</v>
      </c>
      <c r="F300" s="35">
        <v>46026</v>
      </c>
      <c r="G300" s="34" t="s">
        <v>453</v>
      </c>
      <c r="H300" s="34" t="s">
        <v>1775</v>
      </c>
      <c r="I300" s="34" t="s">
        <v>22</v>
      </c>
      <c r="J300" s="36"/>
      <c r="K300" s="36"/>
      <c r="L300" s="36">
        <v>15000</v>
      </c>
      <c r="M300" s="36"/>
      <c r="N300" s="34"/>
      <c r="O300" s="36">
        <v>15000</v>
      </c>
      <c r="P300" s="36">
        <f>9935+11</f>
        <v>9946</v>
      </c>
      <c r="Q300" s="45">
        <f>P300/O300</f>
        <v>0.66306666666666669</v>
      </c>
      <c r="R300" s="38"/>
      <c r="S300" s="39"/>
      <c r="T300" s="34"/>
      <c r="U300" s="34"/>
    </row>
    <row r="301" spans="1:21" ht="14.5" x14ac:dyDescent="0.35">
      <c r="A301" t="s">
        <v>338</v>
      </c>
      <c r="B301" t="s">
        <v>40</v>
      </c>
      <c r="D301" t="s">
        <v>701</v>
      </c>
      <c r="E301" t="s">
        <v>702</v>
      </c>
      <c r="F301" s="4">
        <v>46193</v>
      </c>
      <c r="G301" t="s">
        <v>703</v>
      </c>
      <c r="H301" t="s">
        <v>21</v>
      </c>
      <c r="I301" t="s">
        <v>22</v>
      </c>
      <c r="J301" t="s">
        <v>35</v>
      </c>
      <c r="K301" t="s">
        <v>35</v>
      </c>
      <c r="O301" s="15">
        <v>11500</v>
      </c>
      <c r="P301" s="38">
        <f>2112+3633+3202+712</f>
        <v>9659</v>
      </c>
      <c r="Q301" s="45">
        <f>P301/O301</f>
        <v>0.8399130434782609</v>
      </c>
    </row>
    <row r="302" spans="1:21" ht="14.5" x14ac:dyDescent="0.35">
      <c r="A302" s="26" t="s">
        <v>459</v>
      </c>
      <c r="B302" s="26" t="s">
        <v>25</v>
      </c>
      <c r="C302" s="26"/>
      <c r="D302" s="26" t="s">
        <v>2158</v>
      </c>
      <c r="E302" s="26" t="s">
        <v>2257</v>
      </c>
      <c r="F302" s="26"/>
      <c r="G302" t="s">
        <v>2160</v>
      </c>
      <c r="H302" s="26"/>
      <c r="I302" s="26" t="s">
        <v>22</v>
      </c>
      <c r="J302" s="26" t="s">
        <v>35</v>
      </c>
      <c r="K302" s="26"/>
      <c r="L302" s="26"/>
      <c r="M302" s="26"/>
      <c r="N302" s="26"/>
      <c r="O302" s="32"/>
      <c r="P302" s="49">
        <v>9651</v>
      </c>
      <c r="Q302" s="45" t="e">
        <f>P302/O302</f>
        <v>#DIV/0!</v>
      </c>
      <c r="R302" s="32"/>
      <c r="S302" s="32"/>
    </row>
    <row r="303" spans="1:21" ht="14.5" x14ac:dyDescent="0.35">
      <c r="A303" s="26" t="s">
        <v>131</v>
      </c>
      <c r="B303" s="26" t="s">
        <v>25</v>
      </c>
      <c r="C303" s="26"/>
      <c r="D303" s="26" t="s">
        <v>2240</v>
      </c>
      <c r="E303" s="26" t="s">
        <v>2241</v>
      </c>
      <c r="F303" s="26"/>
      <c r="H303" s="26"/>
      <c r="I303" s="26" t="s">
        <v>22</v>
      </c>
      <c r="J303" s="26"/>
      <c r="K303" s="26" t="s">
        <v>35</v>
      </c>
      <c r="L303" s="26"/>
      <c r="M303" s="26"/>
      <c r="N303" s="26"/>
      <c r="O303" s="32"/>
      <c r="P303" s="49">
        <v>9638</v>
      </c>
      <c r="Q303" s="45" t="e">
        <f>P303/O303</f>
        <v>#DIV/0!</v>
      </c>
      <c r="R303" s="32"/>
      <c r="S303" s="32"/>
    </row>
    <row r="304" spans="1:21" ht="14.5" x14ac:dyDescent="0.35">
      <c r="A304" t="s">
        <v>357</v>
      </c>
      <c r="B304" t="s">
        <v>81</v>
      </c>
      <c r="D304" t="s">
        <v>358</v>
      </c>
      <c r="E304" t="s">
        <v>704</v>
      </c>
      <c r="F304" s="4">
        <v>46180</v>
      </c>
      <c r="G304" t="s">
        <v>130</v>
      </c>
      <c r="H304" t="s">
        <v>48</v>
      </c>
      <c r="I304" t="s">
        <v>22</v>
      </c>
      <c r="J304">
        <f>616+157</f>
        <v>773</v>
      </c>
      <c r="K304">
        <f>2719+1363</f>
        <v>4082</v>
      </c>
      <c r="L304">
        <v>4728</v>
      </c>
      <c r="O304" s="30">
        <v>15000</v>
      </c>
      <c r="P304" s="40">
        <f>SUM(J304:L304)</f>
        <v>9583</v>
      </c>
      <c r="Q304" s="45">
        <f>P304/O304</f>
        <v>0.63886666666666669</v>
      </c>
      <c r="R304" s="30"/>
      <c r="S304" s="30"/>
      <c r="T304">
        <v>2003</v>
      </c>
    </row>
    <row r="305" spans="1:21" ht="14.5" x14ac:dyDescent="0.35">
      <c r="A305" t="s">
        <v>347</v>
      </c>
      <c r="B305" t="s">
        <v>40</v>
      </c>
      <c r="D305" t="s">
        <v>348</v>
      </c>
      <c r="E305" t="s">
        <v>705</v>
      </c>
      <c r="F305" s="4">
        <v>46292</v>
      </c>
      <c r="G305" t="s">
        <v>38</v>
      </c>
      <c r="H305" t="s">
        <v>21</v>
      </c>
      <c r="I305" t="s">
        <v>22</v>
      </c>
      <c r="J305" t="s">
        <v>35</v>
      </c>
      <c r="L305" t="s">
        <v>35</v>
      </c>
      <c r="O305" s="15">
        <v>14000</v>
      </c>
      <c r="P305" s="38">
        <v>9527</v>
      </c>
      <c r="Q305" s="45">
        <f>P305/O305</f>
        <v>0.68049999999999999</v>
      </c>
      <c r="T305">
        <v>1979</v>
      </c>
      <c r="U305" t="s">
        <v>350</v>
      </c>
    </row>
    <row r="306" spans="1:21" ht="14.5" x14ac:dyDescent="0.35">
      <c r="A306" t="s">
        <v>706</v>
      </c>
      <c r="B306" t="s">
        <v>40</v>
      </c>
      <c r="D306" t="s">
        <v>707</v>
      </c>
      <c r="E306" t="s">
        <v>708</v>
      </c>
      <c r="F306" s="4">
        <v>46279</v>
      </c>
      <c r="G306" t="s">
        <v>3</v>
      </c>
      <c r="H306" t="s">
        <v>21</v>
      </c>
      <c r="I306" t="s">
        <v>22</v>
      </c>
      <c r="J306" t="s">
        <v>35</v>
      </c>
      <c r="K306" t="s">
        <v>35</v>
      </c>
      <c r="L306" t="s">
        <v>35</v>
      </c>
      <c r="M306" t="s">
        <v>35</v>
      </c>
      <c r="O306" s="15">
        <v>11000</v>
      </c>
      <c r="P306" s="38">
        <f>1553+2852+2185+2775</f>
        <v>9365</v>
      </c>
      <c r="Q306" s="45">
        <f>P306/O306</f>
        <v>0.85136363636363632</v>
      </c>
    </row>
    <row r="307" spans="1:21" ht="14.5" x14ac:dyDescent="0.35">
      <c r="A307" t="s">
        <v>39</v>
      </c>
      <c r="B307" t="s">
        <v>40</v>
      </c>
      <c r="D307" t="s">
        <v>41</v>
      </c>
      <c r="E307" t="s">
        <v>709</v>
      </c>
      <c r="F307" s="4">
        <v>46313</v>
      </c>
      <c r="G307" t="s">
        <v>47</v>
      </c>
      <c r="H307" t="s">
        <v>21</v>
      </c>
      <c r="I307" t="s">
        <v>22</v>
      </c>
      <c r="L307" t="s">
        <v>35</v>
      </c>
      <c r="O307" s="15">
        <v>12000</v>
      </c>
      <c r="P307" s="38">
        <f>4675+15*312+1</f>
        <v>9356</v>
      </c>
      <c r="Q307" s="45">
        <f>P307/O307</f>
        <v>0.77966666666666662</v>
      </c>
    </row>
    <row r="308" spans="1:21" ht="14.5" x14ac:dyDescent="0.35">
      <c r="A308" s="34" t="s">
        <v>44</v>
      </c>
      <c r="B308" s="34" t="s">
        <v>40</v>
      </c>
      <c r="C308" s="34" t="s">
        <v>2332</v>
      </c>
      <c r="D308" s="34" t="s">
        <v>1826</v>
      </c>
      <c r="E308" s="34" t="s">
        <v>1827</v>
      </c>
      <c r="F308" s="35">
        <v>46068</v>
      </c>
      <c r="G308" s="34" t="s">
        <v>1828</v>
      </c>
      <c r="H308" s="34" t="s">
        <v>1775</v>
      </c>
      <c r="I308" t="s">
        <v>488</v>
      </c>
      <c r="J308" s="36"/>
      <c r="K308" s="36"/>
      <c r="L308" s="36"/>
      <c r="M308" s="36"/>
      <c r="N308" s="34"/>
      <c r="O308" s="36">
        <v>12000</v>
      </c>
      <c r="P308" s="36">
        <f>595+1883+3299+2965+103*4</f>
        <v>9154</v>
      </c>
      <c r="Q308" s="45">
        <f>P308/O308</f>
        <v>0.76283333333333336</v>
      </c>
      <c r="R308" s="36"/>
      <c r="S308" s="37"/>
      <c r="T308" s="34"/>
      <c r="U308" s="34"/>
    </row>
    <row r="309" spans="1:21" ht="14.5" x14ac:dyDescent="0.35">
      <c r="A309" t="s">
        <v>30</v>
      </c>
      <c r="B309" t="s">
        <v>31</v>
      </c>
      <c r="D309" t="s">
        <v>143</v>
      </c>
      <c r="E309" t="s">
        <v>711</v>
      </c>
      <c r="F309" s="4">
        <v>46110</v>
      </c>
      <c r="G309" t="s">
        <v>113</v>
      </c>
      <c r="I309" t="s">
        <v>22</v>
      </c>
      <c r="K309" t="s">
        <v>35</v>
      </c>
      <c r="N309">
        <v>7</v>
      </c>
      <c r="O309" s="15">
        <v>11000</v>
      </c>
      <c r="P309" s="38">
        <f>O309-O309*0.17</f>
        <v>9130</v>
      </c>
      <c r="Q309" s="45">
        <f>P309/O309</f>
        <v>0.83</v>
      </c>
    </row>
    <row r="310" spans="1:21" ht="14.5" x14ac:dyDescent="0.35">
      <c r="A310" t="s">
        <v>124</v>
      </c>
      <c r="B310" t="s">
        <v>40</v>
      </c>
      <c r="D310" t="s">
        <v>219</v>
      </c>
      <c r="E310" t="s">
        <v>710</v>
      </c>
      <c r="F310" s="4">
        <v>46335</v>
      </c>
      <c r="O310" s="15">
        <v>11000</v>
      </c>
      <c r="P310" s="38">
        <f>O310-O310*0.17</f>
        <v>9130</v>
      </c>
      <c r="Q310" s="45">
        <f>P310/O310</f>
        <v>0.83</v>
      </c>
    </row>
    <row r="311" spans="1:21" ht="14.5" x14ac:dyDescent="0.35">
      <c r="A311" t="s">
        <v>124</v>
      </c>
      <c r="B311" t="s">
        <v>40</v>
      </c>
      <c r="D311" t="s">
        <v>712</v>
      </c>
      <c r="E311" t="s">
        <v>713</v>
      </c>
      <c r="F311" s="4">
        <v>46054</v>
      </c>
      <c r="G311" t="s">
        <v>3</v>
      </c>
      <c r="H311" t="s">
        <v>21</v>
      </c>
      <c r="I311" t="s">
        <v>22</v>
      </c>
      <c r="J311" t="s">
        <v>35</v>
      </c>
      <c r="K311" t="s">
        <v>35</v>
      </c>
      <c r="P311" s="38">
        <f>1222+4154+3717</f>
        <v>9093</v>
      </c>
      <c r="Q311" s="45" t="e">
        <f>P311/O311</f>
        <v>#DIV/0!</v>
      </c>
    </row>
    <row r="312" spans="1:21" ht="14.5" x14ac:dyDescent="0.35">
      <c r="A312" t="s">
        <v>66</v>
      </c>
      <c r="B312" t="s">
        <v>40</v>
      </c>
      <c r="D312" t="s">
        <v>714</v>
      </c>
      <c r="E312" t="s">
        <v>715</v>
      </c>
      <c r="F312" s="4">
        <v>46152</v>
      </c>
      <c r="G312" t="s">
        <v>716</v>
      </c>
      <c r="I312" t="s">
        <v>22</v>
      </c>
      <c r="K312" t="s">
        <v>35</v>
      </c>
      <c r="L312" t="s">
        <v>35</v>
      </c>
      <c r="O312" s="15">
        <v>13700</v>
      </c>
      <c r="P312" s="38">
        <f>7313+1769</f>
        <v>9082</v>
      </c>
      <c r="Q312" s="45">
        <f>P312/O312</f>
        <v>0.66291970802919709</v>
      </c>
    </row>
    <row r="313" spans="1:21" ht="14.5" x14ac:dyDescent="0.35">
      <c r="A313" t="s">
        <v>85</v>
      </c>
      <c r="B313" t="s">
        <v>40</v>
      </c>
      <c r="D313" t="s">
        <v>383</v>
      </c>
      <c r="E313" t="s">
        <v>717</v>
      </c>
      <c r="F313" s="4">
        <v>46292</v>
      </c>
      <c r="G313" t="s">
        <v>38</v>
      </c>
      <c r="H313" t="s">
        <v>21</v>
      </c>
      <c r="I313" t="s">
        <v>718</v>
      </c>
      <c r="L313" t="s">
        <v>35</v>
      </c>
      <c r="N313">
        <v>6</v>
      </c>
      <c r="P313" s="38">
        <v>9073</v>
      </c>
      <c r="Q313" s="45" t="e">
        <f>P313/O313</f>
        <v>#DIV/0!</v>
      </c>
      <c r="U313" t="s">
        <v>719</v>
      </c>
    </row>
    <row r="314" spans="1:21" ht="14.5" x14ac:dyDescent="0.35">
      <c r="A314" s="34" t="s">
        <v>44</v>
      </c>
      <c r="B314" s="34" t="s">
        <v>40</v>
      </c>
      <c r="C314" s="34" t="s">
        <v>2318</v>
      </c>
      <c r="D314" s="34" t="s">
        <v>45</v>
      </c>
      <c r="E314" s="34" t="s">
        <v>1850</v>
      </c>
      <c r="F314" s="35">
        <v>46208</v>
      </c>
      <c r="G314" s="34" t="s">
        <v>1851</v>
      </c>
      <c r="H314" s="34" t="s">
        <v>1775</v>
      </c>
      <c r="I314" s="34" t="s">
        <v>22</v>
      </c>
      <c r="J314" s="36"/>
      <c r="K314" s="36"/>
      <c r="L314" s="36">
        <v>11000</v>
      </c>
      <c r="M314" s="36"/>
      <c r="N314" s="34"/>
      <c r="O314" s="36">
        <v>11000</v>
      </c>
      <c r="P314" s="36">
        <v>9013</v>
      </c>
      <c r="Q314" s="45">
        <f>P314/O314</f>
        <v>0.81936363636363641</v>
      </c>
      <c r="R314" s="38"/>
      <c r="S314" s="39"/>
      <c r="T314" s="34"/>
      <c r="U314" s="34"/>
    </row>
    <row r="315" spans="1:21" ht="14.5" x14ac:dyDescent="0.35">
      <c r="A315" t="s">
        <v>421</v>
      </c>
      <c r="B315" t="s">
        <v>201</v>
      </c>
      <c r="D315" t="s">
        <v>720</v>
      </c>
      <c r="E315" t="s">
        <v>721</v>
      </c>
      <c r="F315" s="4">
        <v>46054</v>
      </c>
      <c r="G315" t="s">
        <v>722</v>
      </c>
      <c r="H315" t="s">
        <v>48</v>
      </c>
      <c r="I315" t="s">
        <v>22</v>
      </c>
      <c r="J315" t="s">
        <v>35</v>
      </c>
      <c r="L315" t="s">
        <v>35</v>
      </c>
      <c r="N315" t="s">
        <v>723</v>
      </c>
      <c r="O315" s="30">
        <v>20000</v>
      </c>
      <c r="P315" s="40">
        <f>2131+560+2162+4144</f>
        <v>8997</v>
      </c>
      <c r="Q315" s="45">
        <f>P315/O315</f>
        <v>0.44985000000000003</v>
      </c>
      <c r="R315" s="30"/>
      <c r="S315" s="30"/>
      <c r="T315" s="7">
        <v>2000</v>
      </c>
      <c r="U315" t="s">
        <v>724</v>
      </c>
    </row>
    <row r="316" spans="1:21" ht="14.5" x14ac:dyDescent="0.35">
      <c r="A316" t="s">
        <v>338</v>
      </c>
      <c r="B316" t="s">
        <v>40</v>
      </c>
      <c r="D316" t="s">
        <v>725</v>
      </c>
      <c r="E316" t="s">
        <v>726</v>
      </c>
      <c r="F316" s="4">
        <v>46271</v>
      </c>
      <c r="G316" t="s">
        <v>38</v>
      </c>
      <c r="H316" t="s">
        <v>21</v>
      </c>
      <c r="I316" t="s">
        <v>22</v>
      </c>
      <c r="J316" t="s">
        <v>35</v>
      </c>
      <c r="K316" t="s">
        <v>35</v>
      </c>
      <c r="O316" s="15">
        <v>14000</v>
      </c>
      <c r="P316" s="38">
        <f>1121+5478+370+399+1612</f>
        <v>8980</v>
      </c>
      <c r="Q316" s="45">
        <f>P316/O316</f>
        <v>0.64142857142857146</v>
      </c>
      <c r="U316" t="s">
        <v>727</v>
      </c>
    </row>
    <row r="317" spans="1:21" ht="14.5" x14ac:dyDescent="0.35">
      <c r="A317" t="s">
        <v>124</v>
      </c>
      <c r="B317" t="s">
        <v>40</v>
      </c>
      <c r="D317" t="s">
        <v>309</v>
      </c>
      <c r="E317" t="s">
        <v>728</v>
      </c>
      <c r="F317" s="4">
        <v>46348</v>
      </c>
      <c r="G317" t="s">
        <v>227</v>
      </c>
      <c r="H317" t="s">
        <v>21</v>
      </c>
      <c r="I317" t="s">
        <v>22</v>
      </c>
      <c r="J317" t="s">
        <v>35</v>
      </c>
      <c r="L317" t="s">
        <v>35</v>
      </c>
      <c r="O317" s="15">
        <v>10500</v>
      </c>
      <c r="P317" s="38">
        <f>5633+3239</f>
        <v>8872</v>
      </c>
      <c r="Q317" s="45">
        <f>P317/O317</f>
        <v>0.8449523809523809</v>
      </c>
    </row>
    <row r="318" spans="1:21" ht="14.5" x14ac:dyDescent="0.35">
      <c r="A318" t="s">
        <v>245</v>
      </c>
      <c r="B318" t="s">
        <v>40</v>
      </c>
      <c r="D318" t="s">
        <v>729</v>
      </c>
      <c r="E318" t="s">
        <v>730</v>
      </c>
      <c r="F318" s="4">
        <v>46306</v>
      </c>
      <c r="G318" t="s">
        <v>731</v>
      </c>
      <c r="H318" t="s">
        <v>21</v>
      </c>
      <c r="I318" t="s">
        <v>22</v>
      </c>
      <c r="J318" t="s">
        <v>35</v>
      </c>
      <c r="K318" t="s">
        <v>35</v>
      </c>
      <c r="L318" t="s">
        <v>35</v>
      </c>
      <c r="M318" t="s">
        <v>35</v>
      </c>
      <c r="N318" t="s">
        <v>495</v>
      </c>
      <c r="O318" s="15">
        <v>11000</v>
      </c>
      <c r="P318" s="38">
        <f>4818+1145+4*192+328+1727</f>
        <v>8786</v>
      </c>
      <c r="Q318" s="45">
        <f>P318/O318</f>
        <v>0.79872727272727273</v>
      </c>
    </row>
    <row r="319" spans="1:21" ht="14.5" x14ac:dyDescent="0.35">
      <c r="A319" t="s">
        <v>30</v>
      </c>
      <c r="B319" t="s">
        <v>31</v>
      </c>
      <c r="D319" t="s">
        <v>732</v>
      </c>
      <c r="E319" t="s">
        <v>733</v>
      </c>
      <c r="F319" s="4">
        <v>46037</v>
      </c>
      <c r="G319" t="s">
        <v>20</v>
      </c>
      <c r="H319" t="s">
        <v>21</v>
      </c>
      <c r="I319" t="s">
        <v>22</v>
      </c>
      <c r="K319" t="s">
        <v>35</v>
      </c>
      <c r="L319" t="s">
        <v>35</v>
      </c>
      <c r="M319" t="s">
        <v>35</v>
      </c>
      <c r="O319" s="15">
        <v>12000</v>
      </c>
      <c r="P319" s="38">
        <f>5000+1716+2051</f>
        <v>8767</v>
      </c>
      <c r="Q319" s="45">
        <f>P319/O319</f>
        <v>0.73058333333333336</v>
      </c>
    </row>
    <row r="320" spans="1:21" ht="14.5" x14ac:dyDescent="0.35">
      <c r="A320" t="s">
        <v>98</v>
      </c>
      <c r="B320" t="s">
        <v>40</v>
      </c>
      <c r="D320" t="s">
        <v>734</v>
      </c>
      <c r="E320" t="s">
        <v>735</v>
      </c>
      <c r="F320" s="4">
        <v>46124</v>
      </c>
      <c r="G320" t="s">
        <v>38</v>
      </c>
      <c r="H320" t="s">
        <v>21</v>
      </c>
      <c r="I320" t="s">
        <v>22</v>
      </c>
      <c r="O320" s="15">
        <v>11000</v>
      </c>
      <c r="P320" s="38">
        <f>5285+3444</f>
        <v>8729</v>
      </c>
      <c r="Q320" s="45">
        <f>P320/O320</f>
        <v>0.79354545454545455</v>
      </c>
      <c r="U320" s="6" t="s">
        <v>736</v>
      </c>
    </row>
    <row r="321" spans="1:21" ht="14.5" x14ac:dyDescent="0.35">
      <c r="A321" t="s">
        <v>737</v>
      </c>
      <c r="B321" t="s">
        <v>25</v>
      </c>
      <c r="D321" t="s">
        <v>738</v>
      </c>
      <c r="E321" t="s">
        <v>739</v>
      </c>
      <c r="F321" s="4">
        <v>46033</v>
      </c>
      <c r="G321" t="s">
        <v>740</v>
      </c>
      <c r="I321" t="s">
        <v>22</v>
      </c>
      <c r="J321" t="s">
        <v>35</v>
      </c>
      <c r="K321" t="s">
        <v>35</v>
      </c>
      <c r="L321" t="s">
        <v>35</v>
      </c>
      <c r="O321" s="15">
        <v>11000</v>
      </c>
      <c r="P321" s="38">
        <f>1883+3435+3378</f>
        <v>8696</v>
      </c>
      <c r="Q321" s="45">
        <f>P321/O321</f>
        <v>0.79054545454545455</v>
      </c>
    </row>
    <row r="322" spans="1:21" ht="14.5" x14ac:dyDescent="0.35">
      <c r="A322" t="s">
        <v>581</v>
      </c>
      <c r="B322" t="s">
        <v>40</v>
      </c>
      <c r="D322" t="s">
        <v>582</v>
      </c>
      <c r="E322" t="s">
        <v>2095</v>
      </c>
      <c r="F322" s="4">
        <v>46354</v>
      </c>
      <c r="G322" t="s">
        <v>2096</v>
      </c>
      <c r="I322" t="s">
        <v>22</v>
      </c>
      <c r="K322">
        <v>5305</v>
      </c>
      <c r="L322">
        <v>3327</v>
      </c>
      <c r="P322" s="38">
        <f>SUM(K322:L322)</f>
        <v>8632</v>
      </c>
      <c r="Q322" s="45" t="e">
        <f>P322/O322</f>
        <v>#DIV/0!</v>
      </c>
    </row>
    <row r="323" spans="1:21" ht="14.5" x14ac:dyDescent="0.35">
      <c r="A323" t="s">
        <v>298</v>
      </c>
      <c r="B323" t="s">
        <v>17</v>
      </c>
      <c r="D323" t="s">
        <v>741</v>
      </c>
      <c r="E323" t="s">
        <v>300</v>
      </c>
      <c r="F323" s="4">
        <v>46075</v>
      </c>
      <c r="G323" t="s">
        <v>301</v>
      </c>
      <c r="H323" t="s">
        <v>21</v>
      </c>
      <c r="I323" t="s">
        <v>302</v>
      </c>
      <c r="K323">
        <v>2223</v>
      </c>
      <c r="M323">
        <v>297</v>
      </c>
      <c r="N323" t="s">
        <v>303</v>
      </c>
      <c r="P323" s="38">
        <f>6106+M323+K323</f>
        <v>8626</v>
      </c>
      <c r="Q323" s="45" t="e">
        <f>P323/O323</f>
        <v>#DIV/0!</v>
      </c>
    </row>
    <row r="324" spans="1:21" ht="14.5" x14ac:dyDescent="0.35">
      <c r="A324" t="s">
        <v>338</v>
      </c>
      <c r="B324" t="s">
        <v>40</v>
      </c>
      <c r="D324" t="s">
        <v>742</v>
      </c>
      <c r="E324" t="s">
        <v>743</v>
      </c>
      <c r="F324" s="4">
        <v>46137</v>
      </c>
      <c r="G324" t="s">
        <v>744</v>
      </c>
      <c r="H324" t="s">
        <v>48</v>
      </c>
      <c r="I324" t="s">
        <v>22</v>
      </c>
      <c r="J324" t="s">
        <v>35</v>
      </c>
      <c r="K324" t="s">
        <v>35</v>
      </c>
      <c r="M324" t="s">
        <v>35</v>
      </c>
      <c r="O324" s="15">
        <v>15000</v>
      </c>
      <c r="P324" s="38">
        <f>804+6253+437+1125</f>
        <v>8619</v>
      </c>
      <c r="Q324" s="45">
        <f>P324/O324</f>
        <v>0.5746</v>
      </c>
      <c r="U324" t="s">
        <v>745</v>
      </c>
    </row>
    <row r="325" spans="1:21" ht="14.5" x14ac:dyDescent="0.35">
      <c r="A325" t="s">
        <v>124</v>
      </c>
      <c r="B325" t="s">
        <v>40</v>
      </c>
      <c r="D325" t="s">
        <v>746</v>
      </c>
      <c r="E325" t="s">
        <v>747</v>
      </c>
      <c r="F325" s="4">
        <v>46334</v>
      </c>
      <c r="G325" t="s">
        <v>336</v>
      </c>
      <c r="H325" t="s">
        <v>48</v>
      </c>
      <c r="I325" t="s">
        <v>22</v>
      </c>
      <c r="J325" t="s">
        <v>35</v>
      </c>
      <c r="K325" t="s">
        <v>35</v>
      </c>
      <c r="O325" s="15">
        <v>12000</v>
      </c>
      <c r="P325" s="38">
        <v>8534</v>
      </c>
      <c r="Q325" s="45">
        <f>P325/O325</f>
        <v>0.71116666666666661</v>
      </c>
      <c r="U325" t="s">
        <v>191</v>
      </c>
    </row>
    <row r="326" spans="1:21" ht="14.5" x14ac:dyDescent="0.35">
      <c r="A326" s="34" t="s">
        <v>44</v>
      </c>
      <c r="B326" s="34" t="s">
        <v>40</v>
      </c>
      <c r="C326" s="34" t="s">
        <v>2318</v>
      </c>
      <c r="D326" s="34" t="s">
        <v>45</v>
      </c>
      <c r="E326" s="34" t="s">
        <v>1878</v>
      </c>
      <c r="F326" s="35">
        <v>46153</v>
      </c>
      <c r="G326" s="34" t="s">
        <v>380</v>
      </c>
      <c r="H326" s="34" t="s">
        <v>1775</v>
      </c>
      <c r="I326" s="34" t="s">
        <v>22</v>
      </c>
      <c r="J326" s="36"/>
      <c r="K326" s="36"/>
      <c r="L326" s="36">
        <v>8500</v>
      </c>
      <c r="M326" s="36"/>
      <c r="N326" s="34"/>
      <c r="O326" s="36">
        <v>8500</v>
      </c>
      <c r="P326" s="36">
        <v>8513</v>
      </c>
      <c r="Q326" s="45">
        <f>P326/O326</f>
        <v>1.0015294117647058</v>
      </c>
      <c r="R326" s="38"/>
      <c r="S326" s="39"/>
      <c r="T326" s="34"/>
      <c r="U326" s="34"/>
    </row>
    <row r="327" spans="1:21" ht="14.5" x14ac:dyDescent="0.35">
      <c r="A327" t="s">
        <v>245</v>
      </c>
      <c r="B327" t="s">
        <v>40</v>
      </c>
      <c r="D327" t="s">
        <v>748</v>
      </c>
      <c r="E327" t="s">
        <v>749</v>
      </c>
      <c r="F327" s="4">
        <v>46124</v>
      </c>
      <c r="G327" t="s">
        <v>750</v>
      </c>
      <c r="H327" t="s">
        <v>21</v>
      </c>
      <c r="I327" t="s">
        <v>22</v>
      </c>
      <c r="J327" t="s">
        <v>35</v>
      </c>
      <c r="K327" t="s">
        <v>35</v>
      </c>
      <c r="L327" t="s">
        <v>35</v>
      </c>
      <c r="M327" t="s">
        <v>35</v>
      </c>
      <c r="N327" t="s">
        <v>495</v>
      </c>
      <c r="O327" s="15">
        <v>20000</v>
      </c>
      <c r="P327" s="38">
        <f>1082+289+1441+3190+862+1051+33+166+374</f>
        <v>8488</v>
      </c>
      <c r="Q327" s="45">
        <f>P327/O327</f>
        <v>0.4244</v>
      </c>
    </row>
    <row r="328" spans="1:21" ht="14.5" x14ac:dyDescent="0.35">
      <c r="A328" t="s">
        <v>66</v>
      </c>
      <c r="B328" t="s">
        <v>40</v>
      </c>
      <c r="D328" t="s">
        <v>751</v>
      </c>
      <c r="E328" t="s">
        <v>752</v>
      </c>
      <c r="F328" s="4">
        <v>46138</v>
      </c>
      <c r="G328" t="s">
        <v>753</v>
      </c>
      <c r="I328" t="s">
        <v>22</v>
      </c>
      <c r="J328" t="s">
        <v>35</v>
      </c>
      <c r="K328" t="s">
        <v>35</v>
      </c>
      <c r="O328" s="15">
        <v>15000</v>
      </c>
      <c r="P328" s="38">
        <f>3227+5224</f>
        <v>8451</v>
      </c>
      <c r="Q328" s="45">
        <f>P328/O328</f>
        <v>0.56340000000000001</v>
      </c>
    </row>
    <row r="329" spans="1:21" ht="14.5" x14ac:dyDescent="0.35">
      <c r="A329" t="s">
        <v>39</v>
      </c>
      <c r="B329" t="s">
        <v>40</v>
      </c>
      <c r="D329" t="s">
        <v>754</v>
      </c>
      <c r="E329" t="s">
        <v>755</v>
      </c>
      <c r="F329" s="4">
        <v>46096</v>
      </c>
      <c r="G329" t="s">
        <v>43</v>
      </c>
      <c r="H329" t="s">
        <v>21</v>
      </c>
      <c r="I329" t="s">
        <v>22</v>
      </c>
      <c r="K329" t="s">
        <v>35</v>
      </c>
      <c r="O329" s="15">
        <v>15000</v>
      </c>
      <c r="P329" s="38">
        <f>8444</f>
        <v>8444</v>
      </c>
      <c r="Q329" s="45">
        <f>P329/O329</f>
        <v>0.56293333333333329</v>
      </c>
      <c r="T329">
        <v>1982</v>
      </c>
    </row>
    <row r="330" spans="1:21" ht="14.5" x14ac:dyDescent="0.35">
      <c r="A330" t="s">
        <v>131</v>
      </c>
      <c r="B330" t="s">
        <v>25</v>
      </c>
      <c r="D330" t="s">
        <v>766</v>
      </c>
      <c r="E330" t="s">
        <v>767</v>
      </c>
      <c r="F330" s="4">
        <v>46067</v>
      </c>
      <c r="G330" t="s">
        <v>38</v>
      </c>
      <c r="H330" t="s">
        <v>21</v>
      </c>
      <c r="I330" t="s">
        <v>22</v>
      </c>
      <c r="J330" t="s">
        <v>35</v>
      </c>
      <c r="O330" s="30">
        <v>10000</v>
      </c>
      <c r="P330" s="38">
        <f>O330-O330*0.17</f>
        <v>8300</v>
      </c>
      <c r="Q330" s="45">
        <f>P330/O330</f>
        <v>0.83</v>
      </c>
      <c r="U330" t="s">
        <v>768</v>
      </c>
    </row>
    <row r="331" spans="1:21" ht="14.5" x14ac:dyDescent="0.35">
      <c r="A331" t="s">
        <v>24</v>
      </c>
      <c r="B331" t="s">
        <v>25</v>
      </c>
      <c r="D331" t="s">
        <v>141</v>
      </c>
      <c r="E331" s="16" t="s">
        <v>769</v>
      </c>
      <c r="F331" s="17">
        <v>46082</v>
      </c>
      <c r="G331" s="28" t="s">
        <v>653</v>
      </c>
      <c r="H331" t="s">
        <v>21</v>
      </c>
      <c r="I331" t="s">
        <v>22</v>
      </c>
      <c r="L331" t="s">
        <v>35</v>
      </c>
      <c r="M331" t="s">
        <v>35</v>
      </c>
      <c r="O331" s="15">
        <v>10000</v>
      </c>
      <c r="P331" s="38">
        <f>O331-O331*0.17</f>
        <v>8300</v>
      </c>
      <c r="Q331" s="45">
        <f>P331/O331</f>
        <v>0.83</v>
      </c>
    </row>
    <row r="332" spans="1:21" ht="14.5" x14ac:dyDescent="0.35">
      <c r="A332" t="s">
        <v>762</v>
      </c>
      <c r="B332" t="s">
        <v>201</v>
      </c>
      <c r="D332" t="s">
        <v>763</v>
      </c>
      <c r="E332" t="s">
        <v>764</v>
      </c>
      <c r="F332" s="4">
        <v>46046</v>
      </c>
      <c r="G332" t="s">
        <v>765</v>
      </c>
      <c r="I332" t="s">
        <v>22</v>
      </c>
      <c r="J332" t="s">
        <v>35</v>
      </c>
      <c r="K332" t="s">
        <v>35</v>
      </c>
      <c r="L332" t="s">
        <v>35</v>
      </c>
      <c r="M332" t="s">
        <v>35</v>
      </c>
      <c r="N332" t="s">
        <v>513</v>
      </c>
      <c r="O332" s="30">
        <v>10000</v>
      </c>
      <c r="P332" s="38">
        <f>O332-O332*0.17</f>
        <v>8300</v>
      </c>
      <c r="Q332" s="45">
        <f>P332/O332</f>
        <v>0.83</v>
      </c>
      <c r="T332" s="7">
        <v>2012</v>
      </c>
    </row>
    <row r="333" spans="1:21" ht="14.5" x14ac:dyDescent="0.35">
      <c r="A333" t="s">
        <v>24</v>
      </c>
      <c r="B333" t="s">
        <v>25</v>
      </c>
      <c r="D333" t="s">
        <v>102</v>
      </c>
      <c r="E333" t="s">
        <v>756</v>
      </c>
      <c r="F333" s="4">
        <v>46026</v>
      </c>
      <c r="G333" t="s">
        <v>757</v>
      </c>
      <c r="H333" t="s">
        <v>21</v>
      </c>
      <c r="I333" t="s">
        <v>22</v>
      </c>
      <c r="L333" t="s">
        <v>35</v>
      </c>
      <c r="M333" t="s">
        <v>35</v>
      </c>
      <c r="O333" s="15">
        <v>10000</v>
      </c>
      <c r="P333" s="38">
        <f>O333-O333*0.17</f>
        <v>8300</v>
      </c>
      <c r="Q333" s="45">
        <f>P333/O333</f>
        <v>0.83</v>
      </c>
    </row>
    <row r="334" spans="1:21" ht="14.5" x14ac:dyDescent="0.35">
      <c r="A334" t="s">
        <v>200</v>
      </c>
      <c r="B334" t="s">
        <v>201</v>
      </c>
      <c r="D334" t="s">
        <v>758</v>
      </c>
      <c r="E334" t="s">
        <v>759</v>
      </c>
      <c r="F334" s="4">
        <v>46369</v>
      </c>
      <c r="I334" t="s">
        <v>22</v>
      </c>
      <c r="K334" t="s">
        <v>35</v>
      </c>
      <c r="M334" t="s">
        <v>35</v>
      </c>
      <c r="N334" t="s">
        <v>760</v>
      </c>
      <c r="O334" s="15">
        <v>10000</v>
      </c>
      <c r="P334" s="38">
        <f>O334-O334*0.17</f>
        <v>8300</v>
      </c>
      <c r="Q334" s="45">
        <f>P334/O334</f>
        <v>0.83</v>
      </c>
      <c r="T334" s="7">
        <v>1995</v>
      </c>
      <c r="U334" s="7"/>
    </row>
    <row r="335" spans="1:21" ht="14.5" x14ac:dyDescent="0.35">
      <c r="A335" t="s">
        <v>2182</v>
      </c>
      <c r="B335" t="s">
        <v>201</v>
      </c>
      <c r="D335" t="s">
        <v>2183</v>
      </c>
      <c r="E335" t="s">
        <v>2184</v>
      </c>
      <c r="F335" s="4">
        <v>46131</v>
      </c>
      <c r="I335" t="s">
        <v>22</v>
      </c>
      <c r="K335" t="s">
        <v>35</v>
      </c>
      <c r="L335" t="s">
        <v>35</v>
      </c>
      <c r="O335" s="15">
        <v>10000</v>
      </c>
      <c r="P335" s="38">
        <f>O335-O335*0.17</f>
        <v>8300</v>
      </c>
      <c r="Q335" s="45">
        <f>P335/O335</f>
        <v>0.83</v>
      </c>
    </row>
    <row r="336" spans="1:21" ht="14.5" x14ac:dyDescent="0.35">
      <c r="A336" t="s">
        <v>16</v>
      </c>
      <c r="B336" t="s">
        <v>17</v>
      </c>
      <c r="D336" t="s">
        <v>770</v>
      </c>
      <c r="E336" t="s">
        <v>771</v>
      </c>
      <c r="F336" s="4">
        <v>46180</v>
      </c>
      <c r="G336" t="s">
        <v>614</v>
      </c>
      <c r="H336" t="s">
        <v>21</v>
      </c>
      <c r="I336" t="s">
        <v>22</v>
      </c>
      <c r="J336" t="s">
        <v>35</v>
      </c>
      <c r="K336" t="s">
        <v>35</v>
      </c>
      <c r="L336" t="s">
        <v>35</v>
      </c>
      <c r="M336" t="s">
        <v>35</v>
      </c>
      <c r="O336" s="15">
        <v>10279</v>
      </c>
      <c r="P336" s="38">
        <f>1442+3681+2269+907</f>
        <v>8299</v>
      </c>
      <c r="Q336" s="45">
        <f>P336/O336</f>
        <v>0.80737425819632258</v>
      </c>
    </row>
    <row r="337" spans="1:21" ht="14.5" x14ac:dyDescent="0.35">
      <c r="A337" s="34" t="s">
        <v>44</v>
      </c>
      <c r="B337" s="34" t="s">
        <v>40</v>
      </c>
      <c r="C337" s="34" t="s">
        <v>331</v>
      </c>
      <c r="D337" s="34" t="s">
        <v>1879</v>
      </c>
      <c r="E337" s="34" t="s">
        <v>1880</v>
      </c>
      <c r="F337" s="35">
        <v>46271</v>
      </c>
      <c r="G337" s="34" t="s">
        <v>1784</v>
      </c>
      <c r="H337" s="34" t="s">
        <v>1775</v>
      </c>
      <c r="I337" s="34" t="s">
        <v>22</v>
      </c>
      <c r="J337" s="36">
        <v>8500</v>
      </c>
      <c r="K337" s="36"/>
      <c r="L337" s="36"/>
      <c r="M337" s="36"/>
      <c r="N337" s="34"/>
      <c r="O337" s="36">
        <v>8500</v>
      </c>
      <c r="P337" s="36">
        <f>7849+38*4+55*4</f>
        <v>8221</v>
      </c>
      <c r="Q337" s="45">
        <f>P337/O337</f>
        <v>0.9671764705882353</v>
      </c>
      <c r="R337" s="36"/>
      <c r="S337" s="37"/>
      <c r="T337" s="34"/>
      <c r="U337" s="34"/>
    </row>
    <row r="338" spans="1:21" ht="14.5" x14ac:dyDescent="0.35">
      <c r="A338" s="26" t="s">
        <v>30</v>
      </c>
      <c r="B338" s="26" t="s">
        <v>31</v>
      </c>
      <c r="C338" s="26"/>
      <c r="D338" s="26" t="s">
        <v>2258</v>
      </c>
      <c r="E338" s="26" t="s">
        <v>2259</v>
      </c>
      <c r="F338" s="27">
        <v>46362</v>
      </c>
      <c r="G338" t="s">
        <v>38</v>
      </c>
      <c r="H338" s="26"/>
      <c r="I338" s="26" t="s">
        <v>22</v>
      </c>
      <c r="J338" s="26" t="s">
        <v>35</v>
      </c>
      <c r="K338" s="26"/>
      <c r="L338" s="26"/>
      <c r="M338" s="26"/>
      <c r="N338" s="26"/>
      <c r="O338" s="32"/>
      <c r="P338" s="49">
        <v>8181</v>
      </c>
      <c r="Q338" s="45" t="e">
        <f>P338/O338</f>
        <v>#DIV/0!</v>
      </c>
      <c r="R338" s="32"/>
      <c r="S338" s="32"/>
      <c r="T338" s="26"/>
      <c r="U338" s="26" t="s">
        <v>2260</v>
      </c>
    </row>
    <row r="339" spans="1:21" ht="14.5" x14ac:dyDescent="0.35">
      <c r="A339" s="34" t="s">
        <v>44</v>
      </c>
      <c r="B339" s="34" t="s">
        <v>40</v>
      </c>
      <c r="C339" s="34" t="s">
        <v>2333</v>
      </c>
      <c r="D339" s="34" t="s">
        <v>1829</v>
      </c>
      <c r="E339" s="34" t="s">
        <v>1852</v>
      </c>
      <c r="F339" s="35">
        <v>46131</v>
      </c>
      <c r="G339" s="34" t="s">
        <v>1784</v>
      </c>
      <c r="H339" s="34" t="s">
        <v>1775</v>
      </c>
      <c r="I339" t="s">
        <v>488</v>
      </c>
      <c r="J339" s="36"/>
      <c r="K339" s="36"/>
      <c r="L339" s="36"/>
      <c r="M339" s="36"/>
      <c r="N339" s="34" t="s">
        <v>1853</v>
      </c>
      <c r="O339" s="36">
        <v>10000</v>
      </c>
      <c r="P339" s="36">
        <f>1781+1566+2004+1241+124*2+745+349+160</f>
        <v>8094</v>
      </c>
      <c r="Q339" s="45">
        <f>P339/O339</f>
        <v>0.80940000000000001</v>
      </c>
      <c r="R339" s="36"/>
      <c r="S339" s="37"/>
      <c r="T339" s="34"/>
      <c r="U339" s="34"/>
    </row>
    <row r="340" spans="1:21" ht="14.5" x14ac:dyDescent="0.35">
      <c r="A340" t="s">
        <v>66</v>
      </c>
      <c r="B340" t="s">
        <v>40</v>
      </c>
      <c r="D340" t="s">
        <v>772</v>
      </c>
      <c r="E340" t="s">
        <v>773</v>
      </c>
      <c r="F340" s="4">
        <v>46131</v>
      </c>
      <c r="G340" t="s">
        <v>774</v>
      </c>
      <c r="H340" t="s">
        <v>48</v>
      </c>
      <c r="I340" t="s">
        <v>22</v>
      </c>
      <c r="J340" t="s">
        <v>35</v>
      </c>
      <c r="K340" t="s">
        <v>35</v>
      </c>
      <c r="L340" t="s">
        <v>35</v>
      </c>
      <c r="N340">
        <v>4</v>
      </c>
      <c r="P340" s="38">
        <f>1072+4503+1873+621</f>
        <v>8069</v>
      </c>
      <c r="Q340" s="45" t="e">
        <f>P340/O340</f>
        <v>#DIV/0!</v>
      </c>
    </row>
    <row r="341" spans="1:21" ht="14.5" x14ac:dyDescent="0.35">
      <c r="A341" s="34" t="s">
        <v>44</v>
      </c>
      <c r="B341" s="34" t="s">
        <v>40</v>
      </c>
      <c r="C341" s="34" t="s">
        <v>115</v>
      </c>
      <c r="D341" s="34" t="s">
        <v>115</v>
      </c>
      <c r="E341" s="34" t="s">
        <v>1821</v>
      </c>
      <c r="F341" s="35">
        <v>46110</v>
      </c>
      <c r="G341" s="34" t="s">
        <v>1789</v>
      </c>
      <c r="H341" s="34" t="s">
        <v>48</v>
      </c>
      <c r="I341" t="s">
        <v>488</v>
      </c>
      <c r="J341" s="36"/>
      <c r="K341" s="36"/>
      <c r="L341" s="36"/>
      <c r="M341" s="36"/>
      <c r="N341" s="34" t="s">
        <v>1822</v>
      </c>
      <c r="O341" s="36">
        <v>13000</v>
      </c>
      <c r="P341" s="36">
        <f>131+940+496+1441+1274+1764+1112+869</f>
        <v>8027</v>
      </c>
      <c r="Q341" s="45">
        <f>P341/O341</f>
        <v>0.61746153846153851</v>
      </c>
      <c r="R341" s="38"/>
      <c r="S341" s="39"/>
      <c r="T341" s="34"/>
      <c r="U341" s="34"/>
    </row>
    <row r="342" spans="1:21" ht="14.5" x14ac:dyDescent="0.35">
      <c r="A342" t="s">
        <v>30</v>
      </c>
      <c r="B342" t="s">
        <v>31</v>
      </c>
      <c r="D342" t="s">
        <v>775</v>
      </c>
      <c r="E342" t="s">
        <v>776</v>
      </c>
      <c r="F342" s="4">
        <v>46103</v>
      </c>
      <c r="G342" t="s">
        <v>777</v>
      </c>
      <c r="I342" t="s">
        <v>22</v>
      </c>
      <c r="J342" t="s">
        <v>35</v>
      </c>
      <c r="K342" t="s">
        <v>35</v>
      </c>
      <c r="L342" t="s">
        <v>35</v>
      </c>
      <c r="M342" t="s">
        <v>35</v>
      </c>
      <c r="O342" s="15">
        <v>10000</v>
      </c>
      <c r="P342" s="38">
        <f>879+2663+2465+1937</f>
        <v>7944</v>
      </c>
      <c r="Q342" s="45">
        <f>P342/O342</f>
        <v>0.7944</v>
      </c>
    </row>
    <row r="343" spans="1:21" ht="14.5" x14ac:dyDescent="0.35">
      <c r="A343" t="s">
        <v>30</v>
      </c>
      <c r="B343" t="s">
        <v>31</v>
      </c>
      <c r="D343" t="s">
        <v>175</v>
      </c>
      <c r="E343" t="s">
        <v>778</v>
      </c>
      <c r="F343" s="4">
        <v>46102</v>
      </c>
      <c r="G343" t="s">
        <v>20</v>
      </c>
      <c r="H343" t="s">
        <v>21</v>
      </c>
      <c r="I343" t="s">
        <v>22</v>
      </c>
      <c r="K343">
        <v>5000</v>
      </c>
      <c r="M343">
        <v>2905</v>
      </c>
      <c r="O343" s="15">
        <v>17000</v>
      </c>
      <c r="P343" s="38">
        <f>5000+2905</f>
        <v>7905</v>
      </c>
      <c r="Q343" s="45">
        <f>P343/O343</f>
        <v>0.46500000000000002</v>
      </c>
    </row>
    <row r="344" spans="1:21" ht="14.5" x14ac:dyDescent="0.35">
      <c r="A344" t="s">
        <v>779</v>
      </c>
      <c r="B344" t="s">
        <v>81</v>
      </c>
      <c r="D344" t="s">
        <v>780</v>
      </c>
      <c r="E344" t="s">
        <v>781</v>
      </c>
      <c r="F344" s="4">
        <v>46369</v>
      </c>
      <c r="G344" t="s">
        <v>782</v>
      </c>
      <c r="I344" t="s">
        <v>22</v>
      </c>
      <c r="K344" t="s">
        <v>35</v>
      </c>
      <c r="L344" t="s">
        <v>35</v>
      </c>
      <c r="M344" t="s">
        <v>35</v>
      </c>
      <c r="P344" s="38">
        <f>2549+2473+2849</f>
        <v>7871</v>
      </c>
      <c r="Q344" s="45" t="e">
        <f>P344/O344</f>
        <v>#DIV/0!</v>
      </c>
    </row>
    <row r="345" spans="1:21" ht="14.5" x14ac:dyDescent="0.35">
      <c r="A345" t="s">
        <v>266</v>
      </c>
      <c r="B345" t="s">
        <v>40</v>
      </c>
      <c r="D345" t="s">
        <v>783</v>
      </c>
      <c r="E345" t="s">
        <v>784</v>
      </c>
      <c r="F345" s="4">
        <v>46145</v>
      </c>
      <c r="G345" t="s">
        <v>785</v>
      </c>
      <c r="H345" t="s">
        <v>21</v>
      </c>
      <c r="I345" t="s">
        <v>22</v>
      </c>
      <c r="J345" t="s">
        <v>35</v>
      </c>
      <c r="N345" t="s">
        <v>786</v>
      </c>
      <c r="O345" s="15">
        <v>15000</v>
      </c>
      <c r="P345" s="38">
        <f>5224+2603</f>
        <v>7827</v>
      </c>
      <c r="Q345" s="45">
        <f>P345/O345</f>
        <v>0.52180000000000004</v>
      </c>
    </row>
    <row r="346" spans="1:21" ht="14.5" x14ac:dyDescent="0.35">
      <c r="A346" t="s">
        <v>30</v>
      </c>
      <c r="B346" t="s">
        <v>31</v>
      </c>
      <c r="D346" t="s">
        <v>153</v>
      </c>
      <c r="E346" t="s">
        <v>787</v>
      </c>
      <c r="F346" s="4">
        <v>46124</v>
      </c>
      <c r="G346" t="s">
        <v>38</v>
      </c>
      <c r="H346" t="s">
        <v>21</v>
      </c>
      <c r="I346" t="s">
        <v>22</v>
      </c>
      <c r="K346" t="s">
        <v>35</v>
      </c>
      <c r="O346" s="15">
        <v>10000</v>
      </c>
      <c r="P346" s="38">
        <v>7816</v>
      </c>
      <c r="Q346" s="45">
        <f>P346/O346</f>
        <v>0.78159999999999996</v>
      </c>
      <c r="U346" t="s">
        <v>155</v>
      </c>
    </row>
    <row r="347" spans="1:21" ht="14.5" x14ac:dyDescent="0.35">
      <c r="A347" t="s">
        <v>63</v>
      </c>
      <c r="B347" t="s">
        <v>40</v>
      </c>
      <c r="D347" t="s">
        <v>788</v>
      </c>
      <c r="E347" t="s">
        <v>789</v>
      </c>
      <c r="F347" s="4">
        <v>46156</v>
      </c>
      <c r="G347" t="s">
        <v>790</v>
      </c>
      <c r="I347" t="s">
        <v>22</v>
      </c>
      <c r="K347" t="s">
        <v>35</v>
      </c>
      <c r="L347" t="s">
        <v>35</v>
      </c>
      <c r="N347" t="s">
        <v>791</v>
      </c>
      <c r="P347" s="38">
        <v>7800</v>
      </c>
      <c r="Q347" s="45" t="e">
        <f>P347/O347</f>
        <v>#DIV/0!</v>
      </c>
    </row>
    <row r="348" spans="1:21" ht="14.5" x14ac:dyDescent="0.35">
      <c r="A348" t="s">
        <v>98</v>
      </c>
      <c r="B348" t="s">
        <v>40</v>
      </c>
      <c r="D348" t="s">
        <v>792</v>
      </c>
      <c r="E348" t="s">
        <v>793</v>
      </c>
      <c r="F348" s="4">
        <v>46124</v>
      </c>
      <c r="G348" t="s">
        <v>38</v>
      </c>
      <c r="H348" t="s">
        <v>21</v>
      </c>
      <c r="I348" t="s">
        <v>22</v>
      </c>
      <c r="J348" t="s">
        <v>35</v>
      </c>
      <c r="K348" t="s">
        <v>35</v>
      </c>
      <c r="L348" t="s">
        <v>35</v>
      </c>
      <c r="O348" s="15">
        <v>9000</v>
      </c>
      <c r="P348" s="38">
        <f>1018+4228+2486+32</f>
        <v>7764</v>
      </c>
      <c r="Q348" s="45">
        <f>P348/O348</f>
        <v>0.86266666666666669</v>
      </c>
      <c r="U348" t="s">
        <v>794</v>
      </c>
    </row>
    <row r="349" spans="1:21" ht="14.5" x14ac:dyDescent="0.35">
      <c r="A349" t="s">
        <v>30</v>
      </c>
      <c r="B349" t="s">
        <v>31</v>
      </c>
      <c r="D349" t="s">
        <v>795</v>
      </c>
      <c r="E349" t="s">
        <v>796</v>
      </c>
      <c r="F349" s="4">
        <v>46299</v>
      </c>
      <c r="G349" t="s">
        <v>20</v>
      </c>
      <c r="H349" t="s">
        <v>21</v>
      </c>
      <c r="I349" t="s">
        <v>22</v>
      </c>
      <c r="K349" t="s">
        <v>35</v>
      </c>
      <c r="L349" t="s">
        <v>35</v>
      </c>
      <c r="M349" t="s">
        <v>35</v>
      </c>
      <c r="O349" s="15">
        <v>11000</v>
      </c>
      <c r="P349" s="38">
        <f>4615+1575+1534</f>
        <v>7724</v>
      </c>
      <c r="Q349" s="45">
        <f>P349/O349</f>
        <v>0.70218181818181813</v>
      </c>
    </row>
    <row r="350" spans="1:21" ht="14.5" x14ac:dyDescent="0.35">
      <c r="A350" t="s">
        <v>581</v>
      </c>
      <c r="B350" t="s">
        <v>40</v>
      </c>
      <c r="D350" t="s">
        <v>797</v>
      </c>
      <c r="E350" t="s">
        <v>798</v>
      </c>
      <c r="F350" s="4">
        <v>46054</v>
      </c>
      <c r="G350" t="s">
        <v>651</v>
      </c>
      <c r="I350" t="s">
        <v>22</v>
      </c>
      <c r="K350" t="s">
        <v>35</v>
      </c>
      <c r="L350" t="s">
        <v>35</v>
      </c>
      <c r="M350" t="s">
        <v>35</v>
      </c>
      <c r="O350" s="15">
        <v>7000</v>
      </c>
      <c r="P350" s="38">
        <f>4175+3545</f>
        <v>7720</v>
      </c>
      <c r="Q350" s="45">
        <f>P350/O350</f>
        <v>1.1028571428571428</v>
      </c>
    </row>
    <row r="351" spans="1:21" ht="14.5" x14ac:dyDescent="0.35">
      <c r="A351" t="s">
        <v>581</v>
      </c>
      <c r="B351" t="s">
        <v>40</v>
      </c>
      <c r="D351" t="s">
        <v>634</v>
      </c>
      <c r="E351" t="s">
        <v>799</v>
      </c>
      <c r="F351" s="4">
        <v>46334</v>
      </c>
      <c r="G351" t="s">
        <v>636</v>
      </c>
      <c r="H351" t="s">
        <v>21</v>
      </c>
      <c r="I351" t="s">
        <v>22</v>
      </c>
      <c r="J351" t="s">
        <v>35</v>
      </c>
      <c r="L351" t="s">
        <v>35</v>
      </c>
      <c r="N351">
        <v>6</v>
      </c>
      <c r="O351" s="15">
        <v>6000</v>
      </c>
      <c r="P351" s="38">
        <f>4672+3028</f>
        <v>7700</v>
      </c>
      <c r="Q351" s="45">
        <f>P351/O351</f>
        <v>1.2833333333333334</v>
      </c>
    </row>
    <row r="352" spans="1:21" ht="14.5" x14ac:dyDescent="0.35">
      <c r="A352" t="s">
        <v>800</v>
      </c>
      <c r="B352" t="s">
        <v>40</v>
      </c>
      <c r="D352" t="s">
        <v>801</v>
      </c>
      <c r="E352" t="s">
        <v>802</v>
      </c>
      <c r="F352" s="4">
        <v>46306</v>
      </c>
      <c r="G352" t="s">
        <v>3</v>
      </c>
      <c r="H352" t="s">
        <v>21</v>
      </c>
      <c r="I352" t="s">
        <v>22</v>
      </c>
      <c r="J352" t="s">
        <v>35</v>
      </c>
      <c r="K352" t="s">
        <v>35</v>
      </c>
      <c r="L352" t="s">
        <v>35</v>
      </c>
      <c r="M352" t="s">
        <v>35</v>
      </c>
      <c r="O352" s="15">
        <v>8000</v>
      </c>
      <c r="P352" s="38">
        <f>147+707+706+1758+1809+1063+1465</f>
        <v>7655</v>
      </c>
      <c r="Q352" s="45">
        <f>P352/O352</f>
        <v>0.95687500000000003</v>
      </c>
      <c r="U352" t="s">
        <v>803</v>
      </c>
    </row>
    <row r="353" spans="1:21" ht="14.5" x14ac:dyDescent="0.35">
      <c r="A353" t="s">
        <v>527</v>
      </c>
      <c r="B353" t="s">
        <v>40</v>
      </c>
      <c r="D353" t="s">
        <v>528</v>
      </c>
      <c r="E353" t="s">
        <v>804</v>
      </c>
      <c r="F353" s="4">
        <v>46145</v>
      </c>
      <c r="G353" t="s">
        <v>530</v>
      </c>
      <c r="I353" t="s">
        <v>22</v>
      </c>
      <c r="J353" t="s">
        <v>35</v>
      </c>
      <c r="O353" s="15">
        <v>11000</v>
      </c>
      <c r="P353" s="38">
        <v>7636</v>
      </c>
      <c r="Q353" s="45">
        <f>P353/O353</f>
        <v>0.69418181818181823</v>
      </c>
    </row>
    <row r="354" spans="1:21" ht="14.5" x14ac:dyDescent="0.35">
      <c r="A354" s="34" t="s">
        <v>44</v>
      </c>
      <c r="B354" s="34" t="s">
        <v>40</v>
      </c>
      <c r="C354" s="34" t="s">
        <v>503</v>
      </c>
      <c r="D354" s="34" t="s">
        <v>1801</v>
      </c>
      <c r="E354" s="34" t="s">
        <v>1802</v>
      </c>
      <c r="F354" s="35">
        <v>46152</v>
      </c>
      <c r="G354" s="34" t="s">
        <v>505</v>
      </c>
      <c r="H354" s="34" t="s">
        <v>1775</v>
      </c>
      <c r="I354" s="34" t="s">
        <v>22</v>
      </c>
      <c r="J354" s="38">
        <v>1500</v>
      </c>
      <c r="K354" s="38"/>
      <c r="L354" s="38">
        <v>3600</v>
      </c>
      <c r="M354" s="38">
        <v>1200</v>
      </c>
      <c r="N354" s="38" t="s">
        <v>1803</v>
      </c>
      <c r="O354" s="38">
        <v>15500</v>
      </c>
      <c r="P354" s="38">
        <f>2113+3810+1674</f>
        <v>7597</v>
      </c>
      <c r="Q354" s="45">
        <f>P354/O354</f>
        <v>0.49012903225806453</v>
      </c>
      <c r="R354" s="38"/>
      <c r="S354" s="39"/>
      <c r="T354" s="34"/>
      <c r="U354" s="34"/>
    </row>
    <row r="355" spans="1:21" ht="14.5" x14ac:dyDescent="0.35">
      <c r="A355" t="s">
        <v>131</v>
      </c>
      <c r="B355" t="s">
        <v>25</v>
      </c>
      <c r="D355" t="s">
        <v>805</v>
      </c>
      <c r="E355" t="s">
        <v>806</v>
      </c>
      <c r="F355" s="4">
        <v>46131</v>
      </c>
      <c r="G355" t="s">
        <v>807</v>
      </c>
      <c r="I355" t="s">
        <v>22</v>
      </c>
      <c r="J355" t="s">
        <v>35</v>
      </c>
      <c r="O355" s="30">
        <v>9150</v>
      </c>
      <c r="P355" s="38">
        <f>O355-O355*0.17</f>
        <v>7594.5</v>
      </c>
      <c r="Q355" s="45">
        <f>P355/O355</f>
        <v>0.83</v>
      </c>
      <c r="T355">
        <v>1998</v>
      </c>
    </row>
    <row r="356" spans="1:21" ht="14.5" x14ac:dyDescent="0.35">
      <c r="A356" s="34" t="s">
        <v>44</v>
      </c>
      <c r="B356" s="34" t="s">
        <v>40</v>
      </c>
      <c r="C356" s="34" t="s">
        <v>2334</v>
      </c>
      <c r="D356" s="34" t="s">
        <v>1823</v>
      </c>
      <c r="E356" s="34" t="s">
        <v>1824</v>
      </c>
      <c r="F356" s="35">
        <v>46278</v>
      </c>
      <c r="G356" s="34" t="s">
        <v>1786</v>
      </c>
      <c r="H356" s="34" t="s">
        <v>48</v>
      </c>
      <c r="I356" s="34" t="s">
        <v>22</v>
      </c>
      <c r="J356" s="36"/>
      <c r="K356" s="36"/>
      <c r="L356" s="36"/>
      <c r="M356" s="36"/>
      <c r="N356" s="34" t="s">
        <v>1825</v>
      </c>
      <c r="O356" s="36">
        <v>13000</v>
      </c>
      <c r="P356" s="36">
        <f>1586+5863</f>
        <v>7449</v>
      </c>
      <c r="Q356" s="45">
        <f>P356/O356</f>
        <v>0.57299999999999995</v>
      </c>
      <c r="R356" s="36"/>
      <c r="S356" s="37"/>
      <c r="T356" s="34"/>
      <c r="U356" s="34"/>
    </row>
    <row r="357" spans="1:21" ht="14.5" x14ac:dyDescent="0.35">
      <c r="A357" t="s">
        <v>737</v>
      </c>
      <c r="B357" t="s">
        <v>25</v>
      </c>
      <c r="D357" t="s">
        <v>808</v>
      </c>
      <c r="E357" t="s">
        <v>809</v>
      </c>
      <c r="F357" s="4">
        <v>46377</v>
      </c>
      <c r="G357" t="s">
        <v>810</v>
      </c>
      <c r="H357" t="s">
        <v>21</v>
      </c>
      <c r="I357" t="s">
        <v>22</v>
      </c>
      <c r="J357" t="s">
        <v>35</v>
      </c>
      <c r="K357" t="s">
        <v>35</v>
      </c>
      <c r="L357" t="s">
        <v>35</v>
      </c>
      <c r="M357" t="s">
        <v>35</v>
      </c>
      <c r="P357" s="38">
        <f>628+2015+1774+3025</f>
        <v>7442</v>
      </c>
      <c r="Q357" s="45" t="e">
        <f>P357/O357</f>
        <v>#DIV/0!</v>
      </c>
    </row>
    <row r="358" spans="1:21" ht="14.5" x14ac:dyDescent="0.35">
      <c r="A358" s="34" t="s">
        <v>44</v>
      </c>
      <c r="B358" s="34" t="s">
        <v>40</v>
      </c>
      <c r="C358" s="34" t="s">
        <v>2331</v>
      </c>
      <c r="D358" s="34" t="s">
        <v>1876</v>
      </c>
      <c r="E358" s="34" t="s">
        <v>1877</v>
      </c>
      <c r="F358" s="35">
        <v>46306</v>
      </c>
      <c r="G358" s="34" t="s">
        <v>1851</v>
      </c>
      <c r="H358" s="34" t="s">
        <v>48</v>
      </c>
      <c r="I358" s="34" t="s">
        <v>22</v>
      </c>
      <c r="J358" s="36">
        <v>2200</v>
      </c>
      <c r="K358" s="36"/>
      <c r="L358" s="36" t="s">
        <v>333</v>
      </c>
      <c r="M358" s="36"/>
      <c r="N358" s="34" t="s">
        <v>166</v>
      </c>
      <c r="O358" s="36">
        <v>9000</v>
      </c>
      <c r="P358" s="36">
        <f>1869+376*2+250*4+3819</f>
        <v>7440</v>
      </c>
      <c r="Q358" s="45">
        <f>P358/O358</f>
        <v>0.82666666666666666</v>
      </c>
      <c r="R358" s="36"/>
      <c r="S358" s="37"/>
      <c r="T358" s="34"/>
      <c r="U358" s="34"/>
    </row>
    <row r="359" spans="1:21" ht="14.5" x14ac:dyDescent="0.35">
      <c r="A359" t="s">
        <v>66</v>
      </c>
      <c r="B359" t="s">
        <v>40</v>
      </c>
      <c r="D359" t="s">
        <v>811</v>
      </c>
      <c r="E359" t="s">
        <v>812</v>
      </c>
      <c r="F359" s="4">
        <v>46285</v>
      </c>
      <c r="G359" t="s">
        <v>813</v>
      </c>
      <c r="H359" t="s">
        <v>21</v>
      </c>
      <c r="I359" t="s">
        <v>22</v>
      </c>
      <c r="J359" t="s">
        <v>35</v>
      </c>
      <c r="K359" t="s">
        <v>35</v>
      </c>
      <c r="O359" s="15">
        <v>8000</v>
      </c>
      <c r="P359" s="38">
        <f>1247+6186</f>
        <v>7433</v>
      </c>
      <c r="Q359" s="45">
        <f>P359/O359</f>
        <v>0.92912499999999998</v>
      </c>
    </row>
    <row r="360" spans="1:21" ht="14.5" x14ac:dyDescent="0.35">
      <c r="A360" t="s">
        <v>24</v>
      </c>
      <c r="B360" t="s">
        <v>25</v>
      </c>
      <c r="D360" t="s">
        <v>141</v>
      </c>
      <c r="E360" t="s">
        <v>814</v>
      </c>
      <c r="F360" s="4">
        <v>46286</v>
      </c>
      <c r="G360" s="28" t="s">
        <v>653</v>
      </c>
      <c r="H360" t="s">
        <v>21</v>
      </c>
      <c r="I360" t="s">
        <v>22</v>
      </c>
      <c r="J360" t="s">
        <v>35</v>
      </c>
      <c r="K360" t="s">
        <v>35</v>
      </c>
      <c r="L360" t="s">
        <v>35</v>
      </c>
      <c r="M360" t="s">
        <v>35</v>
      </c>
      <c r="O360" s="30">
        <v>30000</v>
      </c>
      <c r="P360" s="40">
        <f>953+5072+1368+27+6</f>
        <v>7426</v>
      </c>
      <c r="Q360" s="45">
        <f>P360/O360</f>
        <v>0.24753333333333333</v>
      </c>
      <c r="R360" s="30"/>
      <c r="S360" s="30"/>
    </row>
    <row r="361" spans="1:21" ht="14.5" x14ac:dyDescent="0.35">
      <c r="A361" t="s">
        <v>110</v>
      </c>
      <c r="B361" t="s">
        <v>31</v>
      </c>
      <c r="D361" t="s">
        <v>2130</v>
      </c>
      <c r="E361" t="s">
        <v>2131</v>
      </c>
      <c r="F361" s="4">
        <v>46130</v>
      </c>
      <c r="G361" t="s">
        <v>2132</v>
      </c>
      <c r="I361" t="s">
        <v>22</v>
      </c>
      <c r="L361" t="s">
        <v>35</v>
      </c>
      <c r="P361" s="38">
        <v>7379</v>
      </c>
      <c r="Q361" s="45" t="e">
        <f>P361/O361</f>
        <v>#DIV/0!</v>
      </c>
    </row>
    <row r="362" spans="1:21" ht="14.5" x14ac:dyDescent="0.35">
      <c r="A362" t="s">
        <v>39</v>
      </c>
      <c r="B362" t="s">
        <v>40</v>
      </c>
      <c r="D362" t="s">
        <v>815</v>
      </c>
      <c r="E362" t="s">
        <v>816</v>
      </c>
      <c r="F362" s="4">
        <v>46152</v>
      </c>
      <c r="G362" t="s">
        <v>817</v>
      </c>
      <c r="I362" t="s">
        <v>22</v>
      </c>
      <c r="O362" s="15">
        <v>7500</v>
      </c>
      <c r="P362" s="38">
        <v>7363</v>
      </c>
      <c r="Q362" s="45">
        <f>P362/O362</f>
        <v>0.98173333333333335</v>
      </c>
    </row>
    <row r="363" spans="1:21" ht="14.5" x14ac:dyDescent="0.35">
      <c r="A363" t="s">
        <v>459</v>
      </c>
      <c r="B363" t="s">
        <v>25</v>
      </c>
      <c r="D363" t="s">
        <v>818</v>
      </c>
      <c r="E363" t="s">
        <v>819</v>
      </c>
      <c r="F363" s="4">
        <v>46341</v>
      </c>
      <c r="G363" t="s">
        <v>38</v>
      </c>
      <c r="H363" t="s">
        <v>21</v>
      </c>
      <c r="I363" t="s">
        <v>22</v>
      </c>
      <c r="J363" t="s">
        <v>35</v>
      </c>
      <c r="K363" t="s">
        <v>35</v>
      </c>
      <c r="O363" s="30">
        <v>30000</v>
      </c>
      <c r="P363" s="40">
        <f>972+2938+3445</f>
        <v>7355</v>
      </c>
      <c r="Q363" s="45">
        <f>P363/O363</f>
        <v>0.24516666666666667</v>
      </c>
      <c r="R363" s="30"/>
      <c r="S363" s="30"/>
      <c r="U363" t="s">
        <v>820</v>
      </c>
    </row>
    <row r="364" spans="1:21" ht="14.5" x14ac:dyDescent="0.35">
      <c r="A364" t="s">
        <v>407</v>
      </c>
      <c r="B364" t="s">
        <v>25</v>
      </c>
      <c r="D364" t="s">
        <v>408</v>
      </c>
      <c r="E364" t="s">
        <v>821</v>
      </c>
      <c r="F364" s="4">
        <v>46355</v>
      </c>
      <c r="G364" t="s">
        <v>20</v>
      </c>
      <c r="H364" t="s">
        <v>21</v>
      </c>
      <c r="I364" t="s">
        <v>22</v>
      </c>
      <c r="J364" t="s">
        <v>35</v>
      </c>
      <c r="K364" t="s">
        <v>35</v>
      </c>
      <c r="L364" t="s">
        <v>35</v>
      </c>
      <c r="M364" t="s">
        <v>35</v>
      </c>
      <c r="O364" s="15">
        <v>8000</v>
      </c>
      <c r="P364" s="38">
        <f>1272+2469+1465+2106</f>
        <v>7312</v>
      </c>
      <c r="Q364" s="45">
        <f>P364/O364</f>
        <v>0.91400000000000003</v>
      </c>
    </row>
    <row r="365" spans="1:21" ht="14.5" x14ac:dyDescent="0.35">
      <c r="A365" t="s">
        <v>181</v>
      </c>
      <c r="B365" t="s">
        <v>40</v>
      </c>
      <c r="D365" t="s">
        <v>822</v>
      </c>
      <c r="E365" t="s">
        <v>823</v>
      </c>
      <c r="F365" s="4">
        <v>46355</v>
      </c>
      <c r="G365" t="s">
        <v>824</v>
      </c>
      <c r="H365" t="s">
        <v>21</v>
      </c>
      <c r="I365" t="s">
        <v>22</v>
      </c>
      <c r="J365" t="s">
        <v>35</v>
      </c>
      <c r="L365" t="s">
        <v>35</v>
      </c>
      <c r="N365" t="s">
        <v>825</v>
      </c>
      <c r="O365" s="15">
        <v>10000</v>
      </c>
      <c r="P365" s="38">
        <f>6213+1074</f>
        <v>7287</v>
      </c>
      <c r="Q365" s="45">
        <f>P365/O365</f>
        <v>0.72870000000000001</v>
      </c>
      <c r="T365">
        <v>1984</v>
      </c>
    </row>
    <row r="366" spans="1:21" ht="14.5" x14ac:dyDescent="0.35">
      <c r="A366" s="34" t="s">
        <v>44</v>
      </c>
      <c r="B366" s="34" t="s">
        <v>40</v>
      </c>
      <c r="C366" s="34" t="s">
        <v>2325</v>
      </c>
      <c r="D366" s="34" t="s">
        <v>1872</v>
      </c>
      <c r="E366" s="34" t="s">
        <v>1873</v>
      </c>
      <c r="F366" s="35">
        <v>46152</v>
      </c>
      <c r="G366" s="34" t="s">
        <v>1874</v>
      </c>
      <c r="H366" s="34" t="s">
        <v>1775</v>
      </c>
      <c r="I366" s="34" t="s">
        <v>22</v>
      </c>
      <c r="J366" s="36" t="s">
        <v>333</v>
      </c>
      <c r="K366" s="36" t="s">
        <v>333</v>
      </c>
      <c r="L366" s="36"/>
      <c r="M366" s="36"/>
      <c r="N366" s="34" t="s">
        <v>1875</v>
      </c>
      <c r="O366" s="36">
        <v>9000</v>
      </c>
      <c r="P366" s="36">
        <f>3105+4292-115+1</f>
        <v>7283</v>
      </c>
      <c r="Q366" s="45">
        <f>P366/O366</f>
        <v>0.80922222222222218</v>
      </c>
      <c r="R366" s="36"/>
      <c r="S366" s="37"/>
      <c r="T366" s="34"/>
      <c r="U366" s="34"/>
    </row>
    <row r="367" spans="1:21" ht="14.5" x14ac:dyDescent="0.35">
      <c r="A367" t="s">
        <v>110</v>
      </c>
      <c r="B367" t="s">
        <v>31</v>
      </c>
      <c r="D367" t="s">
        <v>826</v>
      </c>
      <c r="E367" t="s">
        <v>827</v>
      </c>
      <c r="F367" s="4">
        <v>46300</v>
      </c>
      <c r="G367" t="s">
        <v>828</v>
      </c>
      <c r="H367" t="s">
        <v>21</v>
      </c>
      <c r="I367" t="s">
        <v>22</v>
      </c>
      <c r="J367" t="s">
        <v>35</v>
      </c>
      <c r="K367" t="s">
        <v>35</v>
      </c>
      <c r="L367" t="s">
        <v>35</v>
      </c>
      <c r="M367" t="s">
        <v>35</v>
      </c>
      <c r="O367" s="15">
        <v>17000</v>
      </c>
      <c r="P367" s="38">
        <f>4447+1897+916</f>
        <v>7260</v>
      </c>
      <c r="Q367" s="45">
        <f>P367/O367</f>
        <v>0.42705882352941177</v>
      </c>
    </row>
    <row r="368" spans="1:21" ht="14.5" x14ac:dyDescent="0.35">
      <c r="A368" t="s">
        <v>829</v>
      </c>
      <c r="B368" t="s">
        <v>40</v>
      </c>
      <c r="D368" t="s">
        <v>830</v>
      </c>
      <c r="E368" t="s">
        <v>831</v>
      </c>
      <c r="F368" s="4">
        <v>46124</v>
      </c>
      <c r="G368" t="s">
        <v>832</v>
      </c>
      <c r="I368" t="s">
        <v>22</v>
      </c>
      <c r="J368">
        <v>1102</v>
      </c>
      <c r="K368">
        <v>4145</v>
      </c>
      <c r="N368" t="s">
        <v>833</v>
      </c>
      <c r="O368" s="15">
        <v>13667</v>
      </c>
      <c r="P368" s="38">
        <f>J368+K368+356*4+146*4</f>
        <v>7255</v>
      </c>
      <c r="Q368" s="45">
        <f>P368/O368</f>
        <v>0.5308407112021658</v>
      </c>
    </row>
    <row r="369" spans="1:21" ht="14.5" x14ac:dyDescent="0.35">
      <c r="A369" t="s">
        <v>181</v>
      </c>
      <c r="B369" t="s">
        <v>40</v>
      </c>
      <c r="D369" t="s">
        <v>182</v>
      </c>
      <c r="E369" t="s">
        <v>834</v>
      </c>
      <c r="F369" s="4">
        <v>46082</v>
      </c>
      <c r="G369" t="s">
        <v>194</v>
      </c>
      <c r="H369" t="s">
        <v>48</v>
      </c>
      <c r="I369" t="s">
        <v>22</v>
      </c>
      <c r="K369" t="s">
        <v>35</v>
      </c>
      <c r="O369" s="15">
        <v>12000</v>
      </c>
      <c r="P369" s="38">
        <v>7252</v>
      </c>
      <c r="Q369" s="45">
        <f>P369/O369</f>
        <v>0.60433333333333328</v>
      </c>
      <c r="T369">
        <v>1974</v>
      </c>
    </row>
    <row r="370" spans="1:21" ht="14.5" x14ac:dyDescent="0.35">
      <c r="A370" s="34" t="s">
        <v>44</v>
      </c>
      <c r="B370" s="34" t="s">
        <v>40</v>
      </c>
      <c r="C370" s="34" t="s">
        <v>2318</v>
      </c>
      <c r="D370" s="34" t="s">
        <v>1857</v>
      </c>
      <c r="E370" s="34" t="s">
        <v>1858</v>
      </c>
      <c r="F370" s="35">
        <v>46061</v>
      </c>
      <c r="G370" s="34" t="s">
        <v>1859</v>
      </c>
      <c r="H370" s="34" t="s">
        <v>1775</v>
      </c>
      <c r="I370" s="34" t="s">
        <v>22</v>
      </c>
      <c r="J370" s="38"/>
      <c r="K370" s="38"/>
      <c r="L370" s="38" t="s">
        <v>333</v>
      </c>
      <c r="M370" s="38" t="s">
        <v>333</v>
      </c>
      <c r="N370" s="34" t="s">
        <v>1860</v>
      </c>
      <c r="O370" s="38">
        <v>10000</v>
      </c>
      <c r="P370" s="38">
        <f>2162+3649+804+358+229</f>
        <v>7202</v>
      </c>
      <c r="Q370" s="45">
        <f>P370/O370</f>
        <v>0.72019999999999995</v>
      </c>
      <c r="R370" s="38">
        <v>10400</v>
      </c>
      <c r="S370" s="39"/>
      <c r="T370" s="34"/>
      <c r="U370" s="34"/>
    </row>
    <row r="371" spans="1:21" ht="14.5" x14ac:dyDescent="0.35">
      <c r="A371" t="s">
        <v>124</v>
      </c>
      <c r="B371" t="s">
        <v>40</v>
      </c>
      <c r="D371" t="s">
        <v>835</v>
      </c>
      <c r="E371" t="s">
        <v>836</v>
      </c>
      <c r="F371" s="4">
        <v>46313</v>
      </c>
      <c r="G371" t="s">
        <v>837</v>
      </c>
      <c r="I371" t="s">
        <v>22</v>
      </c>
      <c r="J371" t="s">
        <v>35</v>
      </c>
      <c r="K371" t="s">
        <v>35</v>
      </c>
      <c r="L371" t="s">
        <v>35</v>
      </c>
      <c r="P371" s="38">
        <f>923+3918+2312</f>
        <v>7153</v>
      </c>
      <c r="Q371" s="45" t="e">
        <f>P371/O371</f>
        <v>#DIV/0!</v>
      </c>
    </row>
    <row r="372" spans="1:21" ht="14.5" x14ac:dyDescent="0.35">
      <c r="A372" s="34" t="s">
        <v>44</v>
      </c>
      <c r="B372" s="34" t="s">
        <v>40</v>
      </c>
      <c r="C372" s="34" t="s">
        <v>503</v>
      </c>
      <c r="D372" s="34" t="s">
        <v>1884</v>
      </c>
      <c r="E372" s="34" t="s">
        <v>1885</v>
      </c>
      <c r="F372" s="35">
        <v>46292</v>
      </c>
      <c r="G372" s="34" t="s">
        <v>38</v>
      </c>
      <c r="H372" s="34" t="s">
        <v>1775</v>
      </c>
      <c r="I372" s="34" t="s">
        <v>302</v>
      </c>
      <c r="J372" s="38" t="s">
        <v>333</v>
      </c>
      <c r="K372" s="38" t="s">
        <v>333</v>
      </c>
      <c r="L372" s="38"/>
      <c r="M372" s="38"/>
      <c r="N372" s="34" t="s">
        <v>1886</v>
      </c>
      <c r="O372" s="38">
        <v>8400</v>
      </c>
      <c r="P372" s="38">
        <f>2898+3235+1013</f>
        <v>7146</v>
      </c>
      <c r="Q372" s="45">
        <f>P372/O372</f>
        <v>0.85071428571428576</v>
      </c>
      <c r="R372" s="38"/>
      <c r="S372" s="39"/>
      <c r="T372" s="34"/>
      <c r="U372" s="34"/>
    </row>
    <row r="373" spans="1:21" ht="14.5" x14ac:dyDescent="0.35">
      <c r="A373" t="s">
        <v>39</v>
      </c>
      <c r="B373" t="s">
        <v>40</v>
      </c>
      <c r="D373" t="s">
        <v>2120</v>
      </c>
      <c r="E373" t="s">
        <v>2121</v>
      </c>
      <c r="F373" s="4">
        <v>46131</v>
      </c>
      <c r="G373" t="s">
        <v>255</v>
      </c>
      <c r="H373" t="s">
        <v>21</v>
      </c>
      <c r="I373" t="s">
        <v>22</v>
      </c>
      <c r="J373" t="s">
        <v>35</v>
      </c>
      <c r="K373" t="s">
        <v>35</v>
      </c>
      <c r="L373" t="s">
        <v>35</v>
      </c>
      <c r="P373" s="38">
        <f>2850+2617+1609</f>
        <v>7076</v>
      </c>
      <c r="Q373" s="45" t="e">
        <f>P373/O373</f>
        <v>#DIV/0!</v>
      </c>
    </row>
    <row r="374" spans="1:21" ht="14.5" x14ac:dyDescent="0.35">
      <c r="A374" t="s">
        <v>63</v>
      </c>
      <c r="B374" t="s">
        <v>40</v>
      </c>
      <c r="D374" t="s">
        <v>477</v>
      </c>
      <c r="E374" t="s">
        <v>838</v>
      </c>
      <c r="F374" s="4">
        <v>46369</v>
      </c>
      <c r="G374" t="s">
        <v>839</v>
      </c>
      <c r="I374" t="s">
        <v>22</v>
      </c>
      <c r="N374">
        <v>8.5</v>
      </c>
      <c r="P374" s="38">
        <f>3993+3000+40+37</f>
        <v>7070</v>
      </c>
      <c r="Q374" s="45" t="e">
        <f>P374/O374</f>
        <v>#DIV/0!</v>
      </c>
    </row>
    <row r="375" spans="1:21" ht="14.5" x14ac:dyDescent="0.35">
      <c r="A375" t="s">
        <v>30</v>
      </c>
      <c r="B375" t="s">
        <v>31</v>
      </c>
      <c r="D375" t="s">
        <v>840</v>
      </c>
      <c r="E375" t="s">
        <v>841</v>
      </c>
      <c r="F375" s="4">
        <v>46037</v>
      </c>
      <c r="G375" t="s">
        <v>842</v>
      </c>
      <c r="H375" t="s">
        <v>21</v>
      </c>
      <c r="I375" t="s">
        <v>22</v>
      </c>
      <c r="J375" t="s">
        <v>35</v>
      </c>
      <c r="K375" t="s">
        <v>35</v>
      </c>
      <c r="L375" t="s">
        <v>35</v>
      </c>
      <c r="M375" t="s">
        <v>35</v>
      </c>
      <c r="P375" s="38">
        <f>1515+3003+768+1779</f>
        <v>7065</v>
      </c>
      <c r="Q375" s="45" t="e">
        <f>P375/O375</f>
        <v>#DIV/0!</v>
      </c>
      <c r="U375" t="s">
        <v>843</v>
      </c>
    </row>
    <row r="376" spans="1:21" ht="14.5" x14ac:dyDescent="0.35">
      <c r="A376" t="s">
        <v>39</v>
      </c>
      <c r="B376" t="s">
        <v>40</v>
      </c>
      <c r="D376" t="s">
        <v>844</v>
      </c>
      <c r="E376" t="s">
        <v>845</v>
      </c>
      <c r="F376" s="4">
        <v>46145</v>
      </c>
      <c r="G376" t="s">
        <v>78</v>
      </c>
      <c r="H376" t="s">
        <v>21</v>
      </c>
      <c r="I376" t="s">
        <v>22</v>
      </c>
      <c r="K376" t="s">
        <v>35</v>
      </c>
      <c r="L376" t="s">
        <v>35</v>
      </c>
      <c r="O376" s="15">
        <v>15000</v>
      </c>
      <c r="P376" s="38">
        <f>2689+4338</f>
        <v>7027</v>
      </c>
      <c r="Q376" s="45">
        <f>P376/O376</f>
        <v>0.46846666666666664</v>
      </c>
    </row>
    <row r="377" spans="1:21" ht="14.5" x14ac:dyDescent="0.35">
      <c r="A377" t="s">
        <v>581</v>
      </c>
      <c r="B377" t="s">
        <v>40</v>
      </c>
      <c r="D377" t="s">
        <v>634</v>
      </c>
      <c r="E377" t="s">
        <v>1960</v>
      </c>
      <c r="G377" t="s">
        <v>584</v>
      </c>
      <c r="I377" t="s">
        <v>22</v>
      </c>
      <c r="K377">
        <v>7025</v>
      </c>
      <c r="P377" s="38">
        <v>7025</v>
      </c>
      <c r="Q377" s="45" t="e">
        <f>P377/O377</f>
        <v>#DIV/0!</v>
      </c>
    </row>
    <row r="378" spans="1:21" ht="14.5" x14ac:dyDescent="0.35">
      <c r="A378" t="s">
        <v>24</v>
      </c>
      <c r="B378" t="s">
        <v>25</v>
      </c>
      <c r="D378" s="16" t="s">
        <v>846</v>
      </c>
      <c r="E378" s="16" t="s">
        <v>847</v>
      </c>
      <c r="F378" s="17">
        <v>46054</v>
      </c>
      <c r="G378" s="28" t="s">
        <v>848</v>
      </c>
      <c r="I378" t="s">
        <v>22</v>
      </c>
      <c r="J378">
        <v>170</v>
      </c>
      <c r="K378">
        <v>998</v>
      </c>
      <c r="L378">
        <v>4364</v>
      </c>
      <c r="M378">
        <v>1460</v>
      </c>
      <c r="P378" s="38">
        <f>SUM(J378:M378)</f>
        <v>6992</v>
      </c>
      <c r="Q378" s="45" t="e">
        <f>P378/O378</f>
        <v>#DIV/0!</v>
      </c>
    </row>
    <row r="379" spans="1:21" ht="14.5" x14ac:dyDescent="0.35">
      <c r="A379" t="s">
        <v>181</v>
      </c>
      <c r="B379" t="s">
        <v>40</v>
      </c>
      <c r="D379" t="s">
        <v>192</v>
      </c>
      <c r="E379" t="s">
        <v>849</v>
      </c>
      <c r="F379" s="4">
        <v>46348</v>
      </c>
      <c r="G379" t="s">
        <v>850</v>
      </c>
      <c r="H379" t="s">
        <v>21</v>
      </c>
      <c r="I379" t="s">
        <v>22</v>
      </c>
      <c r="K379" t="s">
        <v>35</v>
      </c>
      <c r="L379" t="s">
        <v>35</v>
      </c>
      <c r="O379" s="15">
        <f>8885+947</f>
        <v>9832</v>
      </c>
      <c r="P379" s="38">
        <f>5860+944</f>
        <v>6804</v>
      </c>
      <c r="Q379" s="45">
        <f>P379/O379</f>
        <v>0.69202603742880386</v>
      </c>
    </row>
    <row r="380" spans="1:21" ht="14.5" x14ac:dyDescent="0.35">
      <c r="A380" t="s">
        <v>110</v>
      </c>
      <c r="B380" t="s">
        <v>31</v>
      </c>
      <c r="D380" t="s">
        <v>2142</v>
      </c>
      <c r="E380" t="s">
        <v>2143</v>
      </c>
      <c r="F380" s="4">
        <v>46124</v>
      </c>
      <c r="I380" t="s">
        <v>22</v>
      </c>
      <c r="L380" t="s">
        <v>35</v>
      </c>
      <c r="N380" t="s">
        <v>1568</v>
      </c>
      <c r="P380" s="38">
        <f>3684+1077+981+1061</f>
        <v>6803</v>
      </c>
      <c r="Q380" s="45" t="e">
        <f>P380/O380</f>
        <v>#DIV/0!</v>
      </c>
      <c r="T380" t="s">
        <v>2144</v>
      </c>
    </row>
    <row r="381" spans="1:21" ht="14.5" x14ac:dyDescent="0.35">
      <c r="A381" s="34" t="s">
        <v>44</v>
      </c>
      <c r="B381" s="34" t="s">
        <v>40</v>
      </c>
      <c r="C381" s="34" t="s">
        <v>503</v>
      </c>
      <c r="D381" s="34" t="s">
        <v>1899</v>
      </c>
      <c r="E381" s="34" t="s">
        <v>1900</v>
      </c>
      <c r="F381" s="35">
        <v>46278</v>
      </c>
      <c r="G381" s="34" t="s">
        <v>38</v>
      </c>
      <c r="H381" s="34"/>
      <c r="I381" s="34" t="s">
        <v>956</v>
      </c>
      <c r="J381" s="38"/>
      <c r="K381" s="38"/>
      <c r="L381" s="38"/>
      <c r="M381" s="38"/>
      <c r="N381" s="34"/>
      <c r="O381" s="38">
        <v>7200</v>
      </c>
      <c r="P381" s="38">
        <f>639+105+529+896+1372+1673+1009+533</f>
        <v>6756</v>
      </c>
      <c r="Q381" s="45">
        <f>P381/O381</f>
        <v>0.93833333333333335</v>
      </c>
      <c r="R381" s="38"/>
      <c r="S381" s="39"/>
      <c r="T381" s="34"/>
      <c r="U381" s="34"/>
    </row>
    <row r="382" spans="1:21" ht="14.5" x14ac:dyDescent="0.35">
      <c r="A382" s="34" t="s">
        <v>44</v>
      </c>
      <c r="B382" s="34" t="s">
        <v>40</v>
      </c>
      <c r="C382" s="34" t="s">
        <v>1814</v>
      </c>
      <c r="D382" s="34" t="s">
        <v>1814</v>
      </c>
      <c r="E382" s="34" t="s">
        <v>1917</v>
      </c>
      <c r="F382" s="35">
        <v>46032</v>
      </c>
      <c r="G382" s="34" t="s">
        <v>38</v>
      </c>
      <c r="H382" s="34"/>
      <c r="I382" t="s">
        <v>488</v>
      </c>
      <c r="J382" s="36"/>
      <c r="K382" s="36"/>
      <c r="L382" s="36"/>
      <c r="M382" s="36"/>
      <c r="N382" s="34"/>
      <c r="O382" s="36">
        <v>6000</v>
      </c>
      <c r="P382" s="36">
        <f>1356*2+180*2+2931+364*2</f>
        <v>6731</v>
      </c>
      <c r="Q382" s="45">
        <f>P382/O382</f>
        <v>1.1218333333333332</v>
      </c>
      <c r="R382" s="38"/>
      <c r="S382" s="39"/>
      <c r="T382" s="34"/>
      <c r="U382" s="34"/>
    </row>
    <row r="383" spans="1:21" ht="14.5" x14ac:dyDescent="0.35">
      <c r="A383" t="s">
        <v>249</v>
      </c>
      <c r="B383" t="s">
        <v>50</v>
      </c>
      <c r="D383" t="s">
        <v>851</v>
      </c>
      <c r="E383" t="s">
        <v>852</v>
      </c>
      <c r="F383" s="4">
        <v>46146</v>
      </c>
      <c r="G383" t="s">
        <v>38</v>
      </c>
      <c r="I383" t="s">
        <v>22</v>
      </c>
      <c r="J383" t="s">
        <v>35</v>
      </c>
      <c r="K383" t="s">
        <v>35</v>
      </c>
      <c r="L383" t="s">
        <v>35</v>
      </c>
      <c r="N383">
        <v>4</v>
      </c>
      <c r="O383" s="30">
        <v>10000</v>
      </c>
      <c r="P383" s="40">
        <f>2200+3179+1301</f>
        <v>6680</v>
      </c>
      <c r="Q383" s="45">
        <f>P383/O383</f>
        <v>0.66800000000000004</v>
      </c>
      <c r="R383" s="30"/>
      <c r="S383" s="30"/>
      <c r="U383" t="s">
        <v>853</v>
      </c>
    </row>
    <row r="384" spans="1:21" ht="14.5" x14ac:dyDescent="0.35">
      <c r="A384" t="s">
        <v>24</v>
      </c>
      <c r="B384" t="s">
        <v>25</v>
      </c>
      <c r="D384" s="19" t="s">
        <v>275</v>
      </c>
      <c r="E384" s="16" t="s">
        <v>857</v>
      </c>
      <c r="F384" s="17">
        <v>46370</v>
      </c>
      <c r="G384" s="28" t="s">
        <v>653</v>
      </c>
      <c r="H384" t="s">
        <v>21</v>
      </c>
      <c r="I384" t="s">
        <v>22</v>
      </c>
      <c r="K384" t="s">
        <v>35</v>
      </c>
      <c r="L384" t="s">
        <v>35</v>
      </c>
      <c r="M384" t="s">
        <v>35</v>
      </c>
      <c r="O384" s="15">
        <v>8000</v>
      </c>
      <c r="P384" s="38">
        <f>O384-O384*0.17</f>
        <v>6640</v>
      </c>
      <c r="Q384" s="45">
        <f>P384/O384</f>
        <v>0.83</v>
      </c>
    </row>
    <row r="385" spans="1:21" ht="14.5" x14ac:dyDescent="0.35">
      <c r="A385" t="s">
        <v>131</v>
      </c>
      <c r="B385" t="s">
        <v>25</v>
      </c>
      <c r="D385" t="s">
        <v>854</v>
      </c>
      <c r="E385" t="s">
        <v>855</v>
      </c>
      <c r="F385" s="4">
        <v>46102</v>
      </c>
      <c r="G385" t="s">
        <v>856</v>
      </c>
      <c r="H385" t="s">
        <v>21</v>
      </c>
      <c r="I385" t="s">
        <v>22</v>
      </c>
      <c r="J385" t="s">
        <v>35</v>
      </c>
      <c r="O385" s="30">
        <v>8000</v>
      </c>
      <c r="P385" s="38">
        <f>O385-O385*0.17</f>
        <v>6640</v>
      </c>
      <c r="Q385" s="45">
        <f>P385/O385</f>
        <v>0.83</v>
      </c>
    </row>
    <row r="386" spans="1:21" ht="14.5" x14ac:dyDescent="0.35">
      <c r="A386" s="34" t="s">
        <v>44</v>
      </c>
      <c r="B386" s="34" t="s">
        <v>40</v>
      </c>
      <c r="C386" s="34" t="s">
        <v>2318</v>
      </c>
      <c r="D386" s="34" t="s">
        <v>45</v>
      </c>
      <c r="E386" s="34" t="s">
        <v>1909</v>
      </c>
      <c r="F386" s="35">
        <v>46110</v>
      </c>
      <c r="G386" s="34" t="s">
        <v>1910</v>
      </c>
      <c r="H386" s="34" t="s">
        <v>1775</v>
      </c>
      <c r="I386" s="34" t="s">
        <v>22</v>
      </c>
      <c r="J386" s="36"/>
      <c r="K386" s="36"/>
      <c r="L386" s="36"/>
      <c r="M386" s="36"/>
      <c r="N386" s="34"/>
      <c r="O386" s="36">
        <v>6500</v>
      </c>
      <c r="P386" s="36">
        <v>6610</v>
      </c>
      <c r="Q386" s="45">
        <f>P386/O386</f>
        <v>1.0169230769230768</v>
      </c>
      <c r="R386" s="38"/>
      <c r="S386" s="39"/>
      <c r="T386" s="34"/>
      <c r="U386" s="34"/>
    </row>
    <row r="387" spans="1:21" ht="14.5" x14ac:dyDescent="0.35">
      <c r="A387" t="s">
        <v>2192</v>
      </c>
      <c r="B387" t="s">
        <v>25</v>
      </c>
      <c r="D387" t="s">
        <v>2193</v>
      </c>
      <c r="E387" t="s">
        <v>2194</v>
      </c>
      <c r="F387" s="4">
        <v>46152</v>
      </c>
      <c r="G387" t="s">
        <v>38</v>
      </c>
      <c r="I387" t="s">
        <v>22</v>
      </c>
      <c r="J387">
        <v>2040</v>
      </c>
      <c r="K387">
        <v>2354</v>
      </c>
      <c r="L387">
        <v>2193</v>
      </c>
      <c r="P387" s="38">
        <f>SUM(J387:L387)</f>
        <v>6587</v>
      </c>
      <c r="Q387" s="45" t="e">
        <f>P387/O387</f>
        <v>#DIV/0!</v>
      </c>
      <c r="U387" t="s">
        <v>2195</v>
      </c>
    </row>
    <row r="388" spans="1:21" ht="14.5" x14ac:dyDescent="0.35">
      <c r="A388" t="s">
        <v>39</v>
      </c>
      <c r="B388" t="s">
        <v>40</v>
      </c>
      <c r="D388" t="s">
        <v>858</v>
      </c>
      <c r="E388" t="s">
        <v>859</v>
      </c>
      <c r="F388" s="4">
        <v>46145</v>
      </c>
      <c r="G388" t="s">
        <v>860</v>
      </c>
      <c r="I388" t="s">
        <v>22</v>
      </c>
      <c r="J388" t="s">
        <v>35</v>
      </c>
      <c r="K388" t="s">
        <v>35</v>
      </c>
      <c r="L388" t="s">
        <v>35</v>
      </c>
      <c r="M388" t="s">
        <v>35</v>
      </c>
      <c r="O388" s="15">
        <v>10000</v>
      </c>
      <c r="P388" s="38">
        <f>1341+3244+1482+512</f>
        <v>6579</v>
      </c>
      <c r="Q388" s="45">
        <f>P388/O388</f>
        <v>0.65790000000000004</v>
      </c>
    </row>
    <row r="389" spans="1:21" ht="14.5" x14ac:dyDescent="0.35">
      <c r="A389" t="s">
        <v>72</v>
      </c>
      <c r="B389" t="s">
        <v>40</v>
      </c>
      <c r="D389" t="s">
        <v>2097</v>
      </c>
      <c r="E389" t="s">
        <v>2098</v>
      </c>
      <c r="G389" t="s">
        <v>75</v>
      </c>
      <c r="I389" t="s">
        <v>488</v>
      </c>
      <c r="L389">
        <v>3136</v>
      </c>
      <c r="M389">
        <v>3432</v>
      </c>
      <c r="P389" s="38">
        <f>SUM(L389:M389)</f>
        <v>6568</v>
      </c>
      <c r="Q389" s="45" t="e">
        <f>P389/O389</f>
        <v>#DIV/0!</v>
      </c>
    </row>
    <row r="390" spans="1:21" ht="14.5" x14ac:dyDescent="0.35">
      <c r="A390" t="s">
        <v>98</v>
      </c>
      <c r="B390" t="s">
        <v>40</v>
      </c>
      <c r="D390" t="s">
        <v>691</v>
      </c>
      <c r="E390" t="s">
        <v>861</v>
      </c>
      <c r="F390" s="4">
        <v>46152</v>
      </c>
      <c r="G390" t="s">
        <v>130</v>
      </c>
      <c r="H390" t="s">
        <v>48</v>
      </c>
      <c r="I390" t="s">
        <v>22</v>
      </c>
      <c r="M390" t="s">
        <v>35</v>
      </c>
      <c r="N390">
        <v>15</v>
      </c>
      <c r="O390" s="15">
        <v>5000</v>
      </c>
      <c r="P390" s="38">
        <f>3945+2607</f>
        <v>6552</v>
      </c>
      <c r="Q390" s="45">
        <f>P390/O390</f>
        <v>1.3104</v>
      </c>
      <c r="T390">
        <v>2011</v>
      </c>
    </row>
    <row r="391" spans="1:21" ht="14.5" x14ac:dyDescent="0.35">
      <c r="A391" t="s">
        <v>527</v>
      </c>
      <c r="B391" t="s">
        <v>40</v>
      </c>
      <c r="D391" t="s">
        <v>528</v>
      </c>
      <c r="E391" t="s">
        <v>862</v>
      </c>
      <c r="F391" s="4">
        <v>46270</v>
      </c>
      <c r="G391" t="s">
        <v>530</v>
      </c>
      <c r="I391" t="s">
        <v>22</v>
      </c>
      <c r="L391" t="s">
        <v>35</v>
      </c>
      <c r="O391" s="15">
        <v>8500</v>
      </c>
      <c r="P391" s="38">
        <v>6550</v>
      </c>
      <c r="Q391" s="45">
        <f>P391/O391</f>
        <v>0.77058823529411768</v>
      </c>
    </row>
    <row r="392" spans="1:21" ht="14.5" x14ac:dyDescent="0.35">
      <c r="A392" t="s">
        <v>39</v>
      </c>
      <c r="B392" t="s">
        <v>40</v>
      </c>
      <c r="D392" t="s">
        <v>863</v>
      </c>
      <c r="E392" t="s">
        <v>864</v>
      </c>
      <c r="F392" s="4">
        <v>46313</v>
      </c>
      <c r="G392" t="s">
        <v>817</v>
      </c>
      <c r="I392" t="s">
        <v>22</v>
      </c>
      <c r="J392" t="s">
        <v>35</v>
      </c>
      <c r="O392" s="15">
        <v>10000</v>
      </c>
      <c r="P392" s="38">
        <f>6537</f>
        <v>6537</v>
      </c>
      <c r="Q392" s="45">
        <f>P392/O392</f>
        <v>0.65369999999999995</v>
      </c>
    </row>
    <row r="393" spans="1:21" ht="14.5" x14ac:dyDescent="0.35">
      <c r="A393" t="s">
        <v>865</v>
      </c>
      <c r="B393" t="s">
        <v>25</v>
      </c>
      <c r="D393" t="s">
        <v>866</v>
      </c>
      <c r="E393" t="s">
        <v>867</v>
      </c>
      <c r="F393" s="4">
        <v>46301</v>
      </c>
      <c r="G393" t="s">
        <v>868</v>
      </c>
      <c r="I393" t="s">
        <v>22</v>
      </c>
      <c r="J393" t="s">
        <v>35</v>
      </c>
      <c r="K393" t="s">
        <v>35</v>
      </c>
      <c r="L393" t="s">
        <v>35</v>
      </c>
      <c r="P393" s="38">
        <v>6500</v>
      </c>
      <c r="Q393" s="45" t="e">
        <f>P393/O393</f>
        <v>#DIV/0!</v>
      </c>
    </row>
    <row r="394" spans="1:21" ht="18.649999999999999" customHeight="1" x14ac:dyDescent="0.35">
      <c r="A394" t="s">
        <v>63</v>
      </c>
      <c r="B394" t="s">
        <v>40</v>
      </c>
      <c r="D394" t="s">
        <v>287</v>
      </c>
      <c r="E394" t="s">
        <v>869</v>
      </c>
      <c r="F394" s="4">
        <v>46180</v>
      </c>
      <c r="G394" t="s">
        <v>690</v>
      </c>
      <c r="I394" t="s">
        <v>22</v>
      </c>
      <c r="L394" t="s">
        <v>35</v>
      </c>
      <c r="M394" t="s">
        <v>35</v>
      </c>
      <c r="P394" s="38">
        <f>3338+3159</f>
        <v>6497</v>
      </c>
      <c r="Q394" s="45" t="e">
        <f>P394/O394</f>
        <v>#DIV/0!</v>
      </c>
    </row>
    <row r="395" spans="1:21" ht="14.5" x14ac:dyDescent="0.35">
      <c r="A395" t="s">
        <v>39</v>
      </c>
      <c r="B395" t="s">
        <v>40</v>
      </c>
      <c r="D395" t="s">
        <v>870</v>
      </c>
      <c r="E395" t="s">
        <v>871</v>
      </c>
      <c r="F395" s="4">
        <v>46110</v>
      </c>
      <c r="G395" t="s">
        <v>817</v>
      </c>
      <c r="I395" t="s">
        <v>22</v>
      </c>
      <c r="P395" s="38">
        <v>6489</v>
      </c>
      <c r="Q395" s="45" t="e">
        <f>P395/O395</f>
        <v>#DIV/0!</v>
      </c>
    </row>
    <row r="396" spans="1:21" ht="14.5" x14ac:dyDescent="0.35">
      <c r="A396" t="s">
        <v>124</v>
      </c>
      <c r="B396" t="s">
        <v>40</v>
      </c>
      <c r="D396" t="s">
        <v>872</v>
      </c>
      <c r="E396" t="s">
        <v>873</v>
      </c>
      <c r="F396" s="4">
        <v>46124</v>
      </c>
      <c r="G396" t="s">
        <v>318</v>
      </c>
      <c r="H396" t="s">
        <v>48</v>
      </c>
      <c r="I396" t="s">
        <v>22</v>
      </c>
      <c r="J396" t="s">
        <v>35</v>
      </c>
      <c r="L396" t="s">
        <v>35</v>
      </c>
      <c r="O396" s="15">
        <v>8000</v>
      </c>
      <c r="P396" s="38">
        <f>1351+5137</f>
        <v>6488</v>
      </c>
      <c r="Q396" s="45">
        <f>P396/O396</f>
        <v>0.81100000000000005</v>
      </c>
    </row>
    <row r="397" spans="1:21" ht="14.5" x14ac:dyDescent="0.35">
      <c r="A397" t="s">
        <v>2127</v>
      </c>
      <c r="B397" t="s">
        <v>40</v>
      </c>
      <c r="D397" t="s">
        <v>872</v>
      </c>
      <c r="E397" t="s">
        <v>873</v>
      </c>
      <c r="F397" s="4">
        <v>46124</v>
      </c>
      <c r="G397" t="s">
        <v>318</v>
      </c>
      <c r="H397" t="s">
        <v>48</v>
      </c>
      <c r="I397" t="s">
        <v>22</v>
      </c>
      <c r="J397">
        <v>1351</v>
      </c>
      <c r="L397">
        <v>5137</v>
      </c>
      <c r="P397" s="38">
        <f>SUM(J397:L397)</f>
        <v>6488</v>
      </c>
      <c r="Q397" s="45" t="e">
        <f>P397/O397</f>
        <v>#DIV/0!</v>
      </c>
      <c r="U397" t="s">
        <v>1230</v>
      </c>
    </row>
    <row r="398" spans="1:21" ht="14.5" x14ac:dyDescent="0.35">
      <c r="A398" t="s">
        <v>272</v>
      </c>
      <c r="B398" t="s">
        <v>31</v>
      </c>
      <c r="D398" t="s">
        <v>273</v>
      </c>
      <c r="E398" t="s">
        <v>874</v>
      </c>
      <c r="F398" s="4">
        <v>46369</v>
      </c>
      <c r="G398" t="s">
        <v>20</v>
      </c>
      <c r="H398" t="s">
        <v>21</v>
      </c>
      <c r="I398" t="s">
        <v>22</v>
      </c>
      <c r="K398" t="s">
        <v>35</v>
      </c>
      <c r="L398" t="s">
        <v>35</v>
      </c>
      <c r="P398" s="38">
        <f>5000+1427</f>
        <v>6427</v>
      </c>
      <c r="Q398" s="45" t="e">
        <f>P398/O398</f>
        <v>#DIV/0!</v>
      </c>
    </row>
    <row r="399" spans="1:21" ht="14.5" x14ac:dyDescent="0.35">
      <c r="A399" t="s">
        <v>39</v>
      </c>
      <c r="B399" t="s">
        <v>40</v>
      </c>
      <c r="D399" t="s">
        <v>2014</v>
      </c>
      <c r="E399" t="s">
        <v>2015</v>
      </c>
      <c r="F399" s="4">
        <v>46292</v>
      </c>
      <c r="G399" t="s">
        <v>43</v>
      </c>
      <c r="H399" t="s">
        <v>21</v>
      </c>
      <c r="I399" t="s">
        <v>22</v>
      </c>
      <c r="J399" t="s">
        <v>35</v>
      </c>
      <c r="L399" t="s">
        <v>35</v>
      </c>
      <c r="M399" t="s">
        <v>35</v>
      </c>
      <c r="P399" s="38">
        <f>4163+2209</f>
        <v>6372</v>
      </c>
      <c r="Q399" s="45" t="e">
        <f>P399/O399</f>
        <v>#DIV/0!</v>
      </c>
    </row>
    <row r="400" spans="1:21" ht="14.5" x14ac:dyDescent="0.35">
      <c r="A400" s="34" t="s">
        <v>44</v>
      </c>
      <c r="B400" s="34" t="s">
        <v>40</v>
      </c>
      <c r="C400" s="34" t="s">
        <v>2318</v>
      </c>
      <c r="D400" s="34" t="s">
        <v>685</v>
      </c>
      <c r="E400" s="34" t="s">
        <v>1866</v>
      </c>
      <c r="F400" s="35">
        <v>46321</v>
      </c>
      <c r="G400" s="34" t="s">
        <v>165</v>
      </c>
      <c r="H400" s="34" t="s">
        <v>48</v>
      </c>
      <c r="I400" s="34" t="s">
        <v>22</v>
      </c>
      <c r="J400" s="36" t="s">
        <v>333</v>
      </c>
      <c r="K400" s="36" t="s">
        <v>333</v>
      </c>
      <c r="L400" s="36" t="s">
        <v>333</v>
      </c>
      <c r="M400" s="36" t="s">
        <v>333</v>
      </c>
      <c r="N400" s="36" t="s">
        <v>1867</v>
      </c>
      <c r="O400" s="36">
        <v>10000</v>
      </c>
      <c r="P400" s="36">
        <f>603+2328+2434+998</f>
        <v>6363</v>
      </c>
      <c r="Q400" s="45">
        <f>P400/O400</f>
        <v>0.63629999999999998</v>
      </c>
      <c r="R400" s="36"/>
      <c r="S400" s="37"/>
      <c r="T400" s="34"/>
      <c r="U400" s="34"/>
    </row>
    <row r="401" spans="1:21" ht="14.5" x14ac:dyDescent="0.35">
      <c r="A401" t="s">
        <v>491</v>
      </c>
      <c r="B401" t="s">
        <v>40</v>
      </c>
      <c r="D401" t="s">
        <v>492</v>
      </c>
      <c r="E401" t="s">
        <v>875</v>
      </c>
      <c r="F401" s="4">
        <v>46179</v>
      </c>
      <c r="G401" t="s">
        <v>876</v>
      </c>
      <c r="I401" t="s">
        <v>22</v>
      </c>
      <c r="J401" t="s">
        <v>35</v>
      </c>
      <c r="K401" t="s">
        <v>35</v>
      </c>
      <c r="L401" t="s">
        <v>35</v>
      </c>
      <c r="N401" t="s">
        <v>833</v>
      </c>
      <c r="P401" s="38">
        <f>2280+854+2955+62*4</f>
        <v>6337</v>
      </c>
      <c r="Q401" s="45" t="e">
        <f>P401/O401</f>
        <v>#DIV/0!</v>
      </c>
    </row>
    <row r="402" spans="1:21" ht="14.5" x14ac:dyDescent="0.35">
      <c r="A402" t="s">
        <v>66</v>
      </c>
      <c r="B402" t="s">
        <v>40</v>
      </c>
      <c r="D402" t="s">
        <v>877</v>
      </c>
      <c r="E402" t="s">
        <v>878</v>
      </c>
      <c r="F402" s="4">
        <v>46320</v>
      </c>
      <c r="G402" t="s">
        <v>606</v>
      </c>
      <c r="H402" t="s">
        <v>21</v>
      </c>
      <c r="I402" t="s">
        <v>22</v>
      </c>
      <c r="K402" t="s">
        <v>35</v>
      </c>
      <c r="L402" t="s">
        <v>35</v>
      </c>
      <c r="N402">
        <v>6</v>
      </c>
      <c r="P402" s="38">
        <f>2941+1063+2331</f>
        <v>6335</v>
      </c>
      <c r="Q402" s="45" t="e">
        <f>P402/O402</f>
        <v>#DIV/0!</v>
      </c>
      <c r="U402" t="s">
        <v>879</v>
      </c>
    </row>
    <row r="403" spans="1:21" ht="14.5" x14ac:dyDescent="0.35">
      <c r="A403" s="34" t="s">
        <v>44</v>
      </c>
      <c r="B403" s="34" t="s">
        <v>40</v>
      </c>
      <c r="C403" s="34" t="s">
        <v>2318</v>
      </c>
      <c r="D403" s="34" t="s">
        <v>45</v>
      </c>
      <c r="E403" s="34" t="s">
        <v>1907</v>
      </c>
      <c r="F403" s="35">
        <v>46356</v>
      </c>
      <c r="G403" s="34" t="s">
        <v>38</v>
      </c>
      <c r="H403" s="34" t="s">
        <v>1775</v>
      </c>
      <c r="I403" s="34" t="s">
        <v>22</v>
      </c>
      <c r="J403" s="36"/>
      <c r="K403" s="36"/>
      <c r="L403" s="36" t="s">
        <v>1908</v>
      </c>
      <c r="M403" s="36"/>
      <c r="N403" s="34"/>
      <c r="O403" s="36">
        <v>6500</v>
      </c>
      <c r="P403" s="36">
        <v>6312</v>
      </c>
      <c r="Q403" s="45">
        <f>P403/O403</f>
        <v>0.97107692307692306</v>
      </c>
      <c r="R403" s="38"/>
      <c r="S403" s="39"/>
      <c r="T403" s="34"/>
      <c r="U403" s="34"/>
    </row>
    <row r="404" spans="1:21" ht="14.5" x14ac:dyDescent="0.35">
      <c r="A404" t="s">
        <v>124</v>
      </c>
      <c r="B404" t="s">
        <v>40</v>
      </c>
      <c r="D404" t="s">
        <v>880</v>
      </c>
      <c r="E404" t="s">
        <v>881</v>
      </c>
      <c r="G404" t="s">
        <v>3</v>
      </c>
      <c r="H404" t="s">
        <v>21</v>
      </c>
      <c r="I404" t="s">
        <v>22</v>
      </c>
      <c r="K404" t="s">
        <v>35</v>
      </c>
      <c r="L404" t="s">
        <v>35</v>
      </c>
      <c r="O404" s="15">
        <v>7500</v>
      </c>
      <c r="P404" s="38">
        <f>2257+3990</f>
        <v>6247</v>
      </c>
      <c r="Q404" s="45">
        <f>P404/O404</f>
        <v>0.8329333333333333</v>
      </c>
    </row>
    <row r="405" spans="1:21" ht="14.5" x14ac:dyDescent="0.35">
      <c r="A405" t="s">
        <v>641</v>
      </c>
      <c r="B405" t="s">
        <v>81</v>
      </c>
      <c r="D405" t="s">
        <v>882</v>
      </c>
      <c r="E405" t="s">
        <v>883</v>
      </c>
      <c r="F405" s="4">
        <v>46320</v>
      </c>
      <c r="G405" t="s">
        <v>38</v>
      </c>
      <c r="H405" t="s">
        <v>21</v>
      </c>
      <c r="I405" t="s">
        <v>22</v>
      </c>
      <c r="J405" t="s">
        <v>35</v>
      </c>
      <c r="K405" t="s">
        <v>35</v>
      </c>
      <c r="N405" t="s">
        <v>495</v>
      </c>
      <c r="O405" s="30">
        <v>10000</v>
      </c>
      <c r="P405" s="40">
        <f>499+944+4530+64+14+40+127</f>
        <v>6218</v>
      </c>
      <c r="Q405" s="45">
        <f>P405/O405</f>
        <v>0.62180000000000002</v>
      </c>
      <c r="R405" s="30"/>
      <c r="S405" s="30"/>
      <c r="U405" t="s">
        <v>884</v>
      </c>
    </row>
    <row r="406" spans="1:21" ht="14.5" x14ac:dyDescent="0.35">
      <c r="A406" t="s">
        <v>245</v>
      </c>
      <c r="B406" t="s">
        <v>40</v>
      </c>
      <c r="D406" t="s">
        <v>885</v>
      </c>
      <c r="E406" t="s">
        <v>886</v>
      </c>
      <c r="F406" s="4">
        <v>46159</v>
      </c>
      <c r="G406" t="s">
        <v>887</v>
      </c>
      <c r="H406" t="s">
        <v>21</v>
      </c>
      <c r="I406" t="s">
        <v>22</v>
      </c>
      <c r="J406" t="s">
        <v>35</v>
      </c>
      <c r="K406" t="s">
        <v>35</v>
      </c>
      <c r="L406" t="s">
        <v>35</v>
      </c>
      <c r="M406" t="s">
        <v>35</v>
      </c>
      <c r="N406" t="s">
        <v>495</v>
      </c>
      <c r="O406" s="15">
        <v>9500</v>
      </c>
      <c r="P406" s="38">
        <f>951+332+1+2064+1692+3+484+597+55+25+11</f>
        <v>6215</v>
      </c>
      <c r="Q406" s="45">
        <f>P406/O406</f>
        <v>0.65421052631578946</v>
      </c>
    </row>
    <row r="407" spans="1:21" ht="14.5" x14ac:dyDescent="0.35">
      <c r="A407" t="s">
        <v>30</v>
      </c>
      <c r="B407" t="s">
        <v>31</v>
      </c>
      <c r="D407" t="s">
        <v>888</v>
      </c>
      <c r="E407" t="s">
        <v>889</v>
      </c>
      <c r="F407" s="4">
        <v>46278</v>
      </c>
      <c r="G407" t="s">
        <v>213</v>
      </c>
      <c r="H407" t="s">
        <v>21</v>
      </c>
      <c r="I407" t="s">
        <v>22</v>
      </c>
      <c r="L407" t="s">
        <v>35</v>
      </c>
      <c r="M407" t="s">
        <v>35</v>
      </c>
      <c r="O407" s="15">
        <v>7000</v>
      </c>
      <c r="P407" s="38">
        <f>1735+4453</f>
        <v>6188</v>
      </c>
      <c r="Q407" s="45">
        <f>P407/O407</f>
        <v>0.88400000000000001</v>
      </c>
    </row>
    <row r="408" spans="1:21" ht="14.5" x14ac:dyDescent="0.35">
      <c r="A408" t="s">
        <v>30</v>
      </c>
      <c r="B408" t="s">
        <v>31</v>
      </c>
      <c r="D408" t="s">
        <v>368</v>
      </c>
      <c r="E408" t="s">
        <v>890</v>
      </c>
      <c r="F408" s="4">
        <v>46327</v>
      </c>
      <c r="G408" t="s">
        <v>113</v>
      </c>
      <c r="I408" t="s">
        <v>22</v>
      </c>
      <c r="K408" t="s">
        <v>35</v>
      </c>
      <c r="M408" t="s">
        <v>35</v>
      </c>
      <c r="P408" s="38">
        <f>4584+1598</f>
        <v>6182</v>
      </c>
      <c r="Q408" s="45" t="e">
        <f>P408/O408</f>
        <v>#DIV/0!</v>
      </c>
    </row>
    <row r="409" spans="1:21" ht="14.5" x14ac:dyDescent="0.35">
      <c r="A409" s="34" t="s">
        <v>44</v>
      </c>
      <c r="B409" s="34" t="s">
        <v>40</v>
      </c>
      <c r="C409" s="34" t="s">
        <v>503</v>
      </c>
      <c r="D409" s="34" t="s">
        <v>1854</v>
      </c>
      <c r="E409" s="34" t="s">
        <v>1855</v>
      </c>
      <c r="F409" s="35">
        <v>46124</v>
      </c>
      <c r="G409" s="34" t="s">
        <v>505</v>
      </c>
      <c r="H409" s="34" t="s">
        <v>1775</v>
      </c>
      <c r="I409" s="34" t="s">
        <v>22</v>
      </c>
      <c r="J409" s="38"/>
      <c r="K409" s="38"/>
      <c r="L409" s="38">
        <v>4400</v>
      </c>
      <c r="M409" s="38">
        <v>1500</v>
      </c>
      <c r="N409" s="34" t="s">
        <v>1856</v>
      </c>
      <c r="O409" s="38">
        <v>10000</v>
      </c>
      <c r="P409" s="38">
        <f>4401+1577+93+107</f>
        <v>6178</v>
      </c>
      <c r="Q409" s="45">
        <f>P409/O409</f>
        <v>0.61780000000000002</v>
      </c>
      <c r="R409" s="38"/>
      <c r="S409" s="39"/>
      <c r="T409" s="34"/>
      <c r="U409" s="34"/>
    </row>
    <row r="410" spans="1:21" ht="14.5" x14ac:dyDescent="0.35">
      <c r="A410" t="s">
        <v>66</v>
      </c>
      <c r="B410" t="s">
        <v>40</v>
      </c>
      <c r="D410" t="s">
        <v>404</v>
      </c>
      <c r="E410" t="s">
        <v>891</v>
      </c>
      <c r="F410" s="4">
        <v>46283</v>
      </c>
      <c r="G410" t="s">
        <v>606</v>
      </c>
      <c r="H410" t="s">
        <v>21</v>
      </c>
      <c r="I410" t="s">
        <v>22</v>
      </c>
      <c r="L410" t="s">
        <v>35</v>
      </c>
      <c r="M410" t="s">
        <v>35</v>
      </c>
      <c r="P410" s="38">
        <f>2456+555+3149</f>
        <v>6160</v>
      </c>
      <c r="Q410" s="45" t="e">
        <f>P410/O410</f>
        <v>#DIV/0!</v>
      </c>
    </row>
    <row r="411" spans="1:21" ht="14.5" x14ac:dyDescent="0.35">
      <c r="A411" s="34" t="s">
        <v>44</v>
      </c>
      <c r="B411" s="34" t="s">
        <v>40</v>
      </c>
      <c r="C411" s="34" t="s">
        <v>2335</v>
      </c>
      <c r="D411" s="34" t="s">
        <v>1903</v>
      </c>
      <c r="E411" s="34" t="s">
        <v>1904</v>
      </c>
      <c r="F411" s="35">
        <v>46109</v>
      </c>
      <c r="G411" s="34" t="s">
        <v>38</v>
      </c>
      <c r="H411" s="34" t="s">
        <v>1775</v>
      </c>
      <c r="I411" s="34" t="s">
        <v>302</v>
      </c>
      <c r="J411" s="36" t="s">
        <v>333</v>
      </c>
      <c r="K411" s="36" t="s">
        <v>333</v>
      </c>
      <c r="L411" s="36"/>
      <c r="M411" s="36"/>
      <c r="N411" s="34" t="s">
        <v>1905</v>
      </c>
      <c r="O411" s="36">
        <v>7000</v>
      </c>
      <c r="P411" s="36">
        <f>1397+2324+143*3+1283+708</f>
        <v>6141</v>
      </c>
      <c r="Q411" s="45">
        <f>P411/O411</f>
        <v>0.87728571428571434</v>
      </c>
      <c r="R411" s="36"/>
      <c r="S411" s="37"/>
      <c r="T411" s="34"/>
      <c r="U411" s="34"/>
    </row>
    <row r="412" spans="1:21" ht="14.5" x14ac:dyDescent="0.35">
      <c r="A412" t="s">
        <v>30</v>
      </c>
      <c r="B412" t="s">
        <v>31</v>
      </c>
      <c r="D412" t="s">
        <v>892</v>
      </c>
      <c r="E412" t="s">
        <v>893</v>
      </c>
      <c r="F412" s="4">
        <v>46257</v>
      </c>
      <c r="G412" t="s">
        <v>894</v>
      </c>
      <c r="H412" t="s">
        <v>21</v>
      </c>
      <c r="I412" t="s">
        <v>895</v>
      </c>
      <c r="N412" t="s">
        <v>896</v>
      </c>
      <c r="P412" s="38">
        <f>2257+2358+523+97+114+93+354+342</f>
        <v>6138</v>
      </c>
      <c r="Q412" s="45" t="e">
        <f>P412/O412</f>
        <v>#DIV/0!</v>
      </c>
    </row>
    <row r="413" spans="1:21" ht="14.5" x14ac:dyDescent="0.35">
      <c r="A413" s="34" t="s">
        <v>44</v>
      </c>
      <c r="B413" s="34" t="s">
        <v>40</v>
      </c>
      <c r="C413" s="34" t="s">
        <v>2318</v>
      </c>
      <c r="D413" s="34" t="s">
        <v>1857</v>
      </c>
      <c r="E413" s="34" t="s">
        <v>1916</v>
      </c>
      <c r="F413" s="35">
        <v>46313</v>
      </c>
      <c r="G413" s="34" t="s">
        <v>1859</v>
      </c>
      <c r="H413" s="34" t="s">
        <v>1775</v>
      </c>
      <c r="I413" s="34" t="s">
        <v>22</v>
      </c>
      <c r="J413" s="36"/>
      <c r="K413" s="36">
        <v>6100</v>
      </c>
      <c r="L413" s="36"/>
      <c r="M413" s="36"/>
      <c r="N413" s="34"/>
      <c r="O413" s="36">
        <v>6100</v>
      </c>
      <c r="P413" s="36">
        <v>6115</v>
      </c>
      <c r="Q413" s="45">
        <f>P413/O413</f>
        <v>1.0024590163934426</v>
      </c>
      <c r="R413" s="38"/>
      <c r="S413" s="39"/>
      <c r="T413" s="34"/>
      <c r="U413" s="34"/>
    </row>
    <row r="414" spans="1:21" ht="14.5" x14ac:dyDescent="0.35">
      <c r="A414" t="s">
        <v>39</v>
      </c>
      <c r="B414" t="s">
        <v>40</v>
      </c>
      <c r="D414" t="s">
        <v>897</v>
      </c>
      <c r="E414" t="s">
        <v>898</v>
      </c>
      <c r="F414" s="4">
        <v>46089</v>
      </c>
      <c r="G414" t="s">
        <v>899</v>
      </c>
      <c r="I414" t="s">
        <v>22</v>
      </c>
      <c r="O414" s="15">
        <v>8000</v>
      </c>
      <c r="P414" s="38">
        <v>6052</v>
      </c>
      <c r="Q414" s="45">
        <f>P414/O414</f>
        <v>0.75649999999999995</v>
      </c>
    </row>
    <row r="415" spans="1:21" ht="14.5" x14ac:dyDescent="0.35">
      <c r="A415" t="s">
        <v>72</v>
      </c>
      <c r="B415" t="s">
        <v>40</v>
      </c>
      <c r="D415" t="s">
        <v>900</v>
      </c>
      <c r="E415" t="s">
        <v>901</v>
      </c>
      <c r="G415" t="s">
        <v>38</v>
      </c>
      <c r="H415" t="s">
        <v>21</v>
      </c>
      <c r="I415" t="s">
        <v>22</v>
      </c>
      <c r="J415" t="s">
        <v>35</v>
      </c>
      <c r="K415" t="s">
        <v>35</v>
      </c>
      <c r="L415" t="s">
        <v>35</v>
      </c>
      <c r="M415" t="s">
        <v>35</v>
      </c>
      <c r="O415" s="15">
        <v>6000</v>
      </c>
      <c r="P415" s="38">
        <f>781+3168+1475+518+90</f>
        <v>6032</v>
      </c>
      <c r="Q415" s="45">
        <f>P415/O415</f>
        <v>1.0053333333333334</v>
      </c>
    </row>
    <row r="416" spans="1:21" ht="14.5" x14ac:dyDescent="0.35">
      <c r="A416" t="s">
        <v>737</v>
      </c>
      <c r="B416" t="s">
        <v>25</v>
      </c>
      <c r="D416" t="s">
        <v>1771</v>
      </c>
      <c r="E416" t="s">
        <v>1772</v>
      </c>
      <c r="F416" s="4">
        <v>46111</v>
      </c>
      <c r="H416" t="s">
        <v>48</v>
      </c>
      <c r="I416" t="s">
        <v>22</v>
      </c>
      <c r="J416">
        <v>1983</v>
      </c>
      <c r="K416">
        <v>2466</v>
      </c>
      <c r="L416">
        <v>961</v>
      </c>
      <c r="M416">
        <v>608</v>
      </c>
      <c r="P416" s="40">
        <f>SUM(J416:M416)</f>
        <v>6018</v>
      </c>
      <c r="Q416" s="45" t="e">
        <f>P416/O416</f>
        <v>#DIV/0!</v>
      </c>
      <c r="R416" s="30"/>
      <c r="S416" s="30"/>
      <c r="U416" t="s">
        <v>1773</v>
      </c>
    </row>
    <row r="417" spans="1:21" ht="14.5" x14ac:dyDescent="0.35">
      <c r="A417" t="s">
        <v>124</v>
      </c>
      <c r="B417" t="s">
        <v>40</v>
      </c>
      <c r="D417" t="s">
        <v>902</v>
      </c>
      <c r="E417" t="s">
        <v>903</v>
      </c>
      <c r="F417" s="4">
        <v>46130</v>
      </c>
      <c r="G417" t="s">
        <v>904</v>
      </c>
      <c r="H417" t="s">
        <v>48</v>
      </c>
      <c r="I417" t="s">
        <v>22</v>
      </c>
      <c r="J417" t="s">
        <v>35</v>
      </c>
      <c r="N417" t="s">
        <v>905</v>
      </c>
      <c r="O417" s="15">
        <v>7200</v>
      </c>
      <c r="P417" s="38">
        <v>6000</v>
      </c>
      <c r="Q417" s="45">
        <f>P417/O417</f>
        <v>0.83333333333333337</v>
      </c>
    </row>
    <row r="418" spans="1:21" ht="14.5" x14ac:dyDescent="0.35">
      <c r="A418" t="s">
        <v>63</v>
      </c>
      <c r="B418" t="s">
        <v>40</v>
      </c>
      <c r="D418" t="s">
        <v>64</v>
      </c>
      <c r="E418" t="s">
        <v>906</v>
      </c>
      <c r="F418" s="4">
        <v>46327</v>
      </c>
      <c r="G418" t="s">
        <v>400</v>
      </c>
      <c r="H418" t="s">
        <v>21</v>
      </c>
      <c r="I418" t="s">
        <v>22</v>
      </c>
      <c r="L418" t="s">
        <v>35</v>
      </c>
      <c r="N418" t="s">
        <v>311</v>
      </c>
      <c r="O418" s="15">
        <v>8000</v>
      </c>
      <c r="P418" s="38">
        <v>5991</v>
      </c>
      <c r="Q418" s="45">
        <f>P418/O418</f>
        <v>0.74887499999999996</v>
      </c>
      <c r="U418" t="s">
        <v>907</v>
      </c>
    </row>
    <row r="419" spans="1:21" ht="14.5" x14ac:dyDescent="0.35">
      <c r="A419" s="34" t="s">
        <v>44</v>
      </c>
      <c r="B419" s="34" t="s">
        <v>40</v>
      </c>
      <c r="C419" s="34" t="s">
        <v>115</v>
      </c>
      <c r="D419" s="34" t="s">
        <v>115</v>
      </c>
      <c r="E419" s="34" t="s">
        <v>1901</v>
      </c>
      <c r="F419" s="35">
        <v>46327</v>
      </c>
      <c r="G419" s="34" t="s">
        <v>1789</v>
      </c>
      <c r="H419" s="34" t="s">
        <v>48</v>
      </c>
      <c r="I419" t="s">
        <v>488</v>
      </c>
      <c r="J419" s="36"/>
      <c r="K419" s="36"/>
      <c r="L419" s="36"/>
      <c r="M419" s="36"/>
      <c r="N419" s="34" t="s">
        <v>1902</v>
      </c>
      <c r="O419" s="36">
        <v>7000</v>
      </c>
      <c r="P419" s="36">
        <f>1092+1331+628+1586+205+1145</f>
        <v>5987</v>
      </c>
      <c r="Q419" s="45">
        <f>P419/O419</f>
        <v>0.85528571428571432</v>
      </c>
      <c r="R419" s="38"/>
      <c r="S419" s="39"/>
      <c r="T419" s="34"/>
      <c r="U419" s="34"/>
    </row>
    <row r="420" spans="1:21" ht="14.5" x14ac:dyDescent="0.35">
      <c r="A420" t="s">
        <v>16</v>
      </c>
      <c r="B420" t="s">
        <v>17</v>
      </c>
      <c r="D420" t="s">
        <v>908</v>
      </c>
      <c r="E420" t="s">
        <v>909</v>
      </c>
      <c r="F420" s="4">
        <v>46327</v>
      </c>
      <c r="G420" t="s">
        <v>910</v>
      </c>
      <c r="I420" t="s">
        <v>895</v>
      </c>
      <c r="P420" s="38">
        <f>4693+1010+87+74</f>
        <v>5864</v>
      </c>
      <c r="Q420" s="45" t="e">
        <f>P420/O420</f>
        <v>#DIV/0!</v>
      </c>
    </row>
    <row r="421" spans="1:21" ht="14.5" x14ac:dyDescent="0.35">
      <c r="A421" t="s">
        <v>16</v>
      </c>
      <c r="B421" t="s">
        <v>17</v>
      </c>
      <c r="D421" t="s">
        <v>18</v>
      </c>
      <c r="E421" t="s">
        <v>911</v>
      </c>
      <c r="F421" s="4">
        <v>46229</v>
      </c>
      <c r="G421" t="s">
        <v>148</v>
      </c>
      <c r="I421" t="s">
        <v>22</v>
      </c>
      <c r="L421" t="s">
        <v>35</v>
      </c>
      <c r="M421" t="s">
        <v>35</v>
      </c>
      <c r="O421" s="15">
        <v>7000</v>
      </c>
      <c r="P421" s="38">
        <f>4828+1031</f>
        <v>5859</v>
      </c>
      <c r="Q421" s="45">
        <f>P421/O421</f>
        <v>0.83699999999999997</v>
      </c>
    </row>
    <row r="422" spans="1:21" ht="14.5" x14ac:dyDescent="0.35">
      <c r="A422" t="s">
        <v>181</v>
      </c>
      <c r="B422" t="s">
        <v>40</v>
      </c>
      <c r="D422" t="s">
        <v>912</v>
      </c>
      <c r="E422" t="s">
        <v>913</v>
      </c>
      <c r="F422" s="4">
        <v>46355</v>
      </c>
      <c r="G422" t="s">
        <v>914</v>
      </c>
      <c r="H422" t="s">
        <v>48</v>
      </c>
      <c r="I422" t="s">
        <v>22</v>
      </c>
      <c r="J422" t="s">
        <v>35</v>
      </c>
      <c r="K422" t="s">
        <v>35</v>
      </c>
      <c r="L422" t="s">
        <v>35</v>
      </c>
      <c r="O422" s="15">
        <v>10000</v>
      </c>
      <c r="P422" s="38">
        <f>2339+3504</f>
        <v>5843</v>
      </c>
      <c r="Q422" s="45">
        <f>P422/O422</f>
        <v>0.58430000000000004</v>
      </c>
      <c r="U422" t="s">
        <v>915</v>
      </c>
    </row>
    <row r="423" spans="1:21" ht="14.5" x14ac:dyDescent="0.35">
      <c r="A423" t="s">
        <v>110</v>
      </c>
      <c r="B423" t="s">
        <v>31</v>
      </c>
      <c r="D423" t="s">
        <v>234</v>
      </c>
      <c r="E423" t="s">
        <v>916</v>
      </c>
      <c r="F423" s="4">
        <v>46131</v>
      </c>
      <c r="G423" t="s">
        <v>236</v>
      </c>
      <c r="I423" t="s">
        <v>22</v>
      </c>
      <c r="J423" t="s">
        <v>35</v>
      </c>
      <c r="K423" t="s">
        <v>35</v>
      </c>
      <c r="L423" t="s">
        <v>35</v>
      </c>
      <c r="M423" t="s">
        <v>35</v>
      </c>
      <c r="O423" s="15">
        <v>11100</v>
      </c>
      <c r="P423" s="38">
        <f>3160+1298+1364</f>
        <v>5822</v>
      </c>
      <c r="Q423" s="45">
        <f>P423/O423</f>
        <v>0.52450450450450448</v>
      </c>
    </row>
    <row r="424" spans="1:21" ht="14.5" x14ac:dyDescent="0.35">
      <c r="A424" t="s">
        <v>39</v>
      </c>
      <c r="B424" t="s">
        <v>40</v>
      </c>
      <c r="D424" t="s">
        <v>959</v>
      </c>
      <c r="E424" t="s">
        <v>960</v>
      </c>
      <c r="F424" s="4"/>
      <c r="G424" t="s">
        <v>78</v>
      </c>
      <c r="H424" t="s">
        <v>48</v>
      </c>
      <c r="I424" t="s">
        <v>22</v>
      </c>
      <c r="M424" t="s">
        <v>333</v>
      </c>
      <c r="N424" t="s">
        <v>677</v>
      </c>
      <c r="P424" s="38">
        <f>5008+814</f>
        <v>5822</v>
      </c>
      <c r="Q424" s="45" t="e">
        <f>P424/O424</f>
        <v>#DIV/0!</v>
      </c>
    </row>
    <row r="425" spans="1:21" ht="14.5" x14ac:dyDescent="0.35">
      <c r="A425" t="s">
        <v>63</v>
      </c>
      <c r="B425" t="s">
        <v>40</v>
      </c>
      <c r="D425" t="s">
        <v>917</v>
      </c>
      <c r="E425" t="s">
        <v>918</v>
      </c>
      <c r="F425" s="4">
        <v>46305</v>
      </c>
      <c r="G425" t="s">
        <v>38</v>
      </c>
      <c r="I425" t="s">
        <v>22</v>
      </c>
      <c r="K425" t="s">
        <v>35</v>
      </c>
      <c r="L425" t="s">
        <v>35</v>
      </c>
      <c r="M425" t="s">
        <v>35</v>
      </c>
      <c r="N425" t="s">
        <v>495</v>
      </c>
      <c r="P425" s="38">
        <f>2734+1567+514+687+106+209</f>
        <v>5817</v>
      </c>
      <c r="Q425" s="45" t="e">
        <f>P425/O425</f>
        <v>#DIV/0!</v>
      </c>
      <c r="U425" t="s">
        <v>919</v>
      </c>
    </row>
    <row r="426" spans="1:21" ht="14.5" x14ac:dyDescent="0.35">
      <c r="A426" t="s">
        <v>272</v>
      </c>
      <c r="B426" t="s">
        <v>31</v>
      </c>
      <c r="D426" t="s">
        <v>693</v>
      </c>
      <c r="E426" t="s">
        <v>920</v>
      </c>
      <c r="F426" s="4">
        <v>46333</v>
      </c>
      <c r="G426" t="s">
        <v>3</v>
      </c>
      <c r="H426" t="s">
        <v>21</v>
      </c>
      <c r="I426" t="s">
        <v>22</v>
      </c>
      <c r="J426" t="s">
        <v>35</v>
      </c>
      <c r="O426" s="30">
        <v>7000</v>
      </c>
      <c r="P426" s="38">
        <f>O426-O426*0.17</f>
        <v>5810</v>
      </c>
      <c r="Q426" s="45">
        <f>P426/O426</f>
        <v>0.83</v>
      </c>
    </row>
    <row r="427" spans="1:21" ht="14.5" x14ac:dyDescent="0.35">
      <c r="A427" t="s">
        <v>39</v>
      </c>
      <c r="B427" t="s">
        <v>40</v>
      </c>
      <c r="D427" t="s">
        <v>897</v>
      </c>
      <c r="E427" t="s">
        <v>921</v>
      </c>
      <c r="F427" s="4">
        <v>46160</v>
      </c>
      <c r="G427" t="s">
        <v>899</v>
      </c>
      <c r="I427" t="s">
        <v>22</v>
      </c>
      <c r="K427" t="s">
        <v>35</v>
      </c>
      <c r="P427" s="38">
        <v>5724</v>
      </c>
      <c r="Q427" s="45" t="e">
        <f>P427/O427</f>
        <v>#DIV/0!</v>
      </c>
    </row>
    <row r="428" spans="1:21" ht="14.5" x14ac:dyDescent="0.35">
      <c r="A428" s="34" t="s">
        <v>44</v>
      </c>
      <c r="B428" s="34" t="s">
        <v>40</v>
      </c>
      <c r="C428" s="34" t="s">
        <v>2335</v>
      </c>
      <c r="D428" s="34" t="s">
        <v>1913</v>
      </c>
      <c r="E428" s="34" t="s">
        <v>1914</v>
      </c>
      <c r="F428" s="35">
        <v>46152</v>
      </c>
      <c r="G428" s="34" t="s">
        <v>1789</v>
      </c>
      <c r="H428" s="34" t="s">
        <v>48</v>
      </c>
      <c r="I428" s="34" t="s">
        <v>956</v>
      </c>
      <c r="J428" s="38"/>
      <c r="K428" s="38"/>
      <c r="L428" s="38"/>
      <c r="M428" s="38"/>
      <c r="N428" s="34" t="s">
        <v>1915</v>
      </c>
      <c r="O428" s="36">
        <v>6500</v>
      </c>
      <c r="P428" s="36">
        <f>684+1052+1805+613+1555</f>
        <v>5709</v>
      </c>
      <c r="Q428" s="45">
        <f>P428/O428</f>
        <v>0.87830769230769234</v>
      </c>
      <c r="R428" s="38"/>
      <c r="S428" s="39"/>
      <c r="T428" s="34"/>
      <c r="U428" s="34"/>
    </row>
    <row r="429" spans="1:21" ht="14.5" x14ac:dyDescent="0.35">
      <c r="A429" t="s">
        <v>181</v>
      </c>
      <c r="B429" t="s">
        <v>40</v>
      </c>
      <c r="D429" t="s">
        <v>969</v>
      </c>
      <c r="E429" t="s">
        <v>1080</v>
      </c>
      <c r="F429" s="4">
        <v>46313</v>
      </c>
      <c r="G429" t="s">
        <v>1081</v>
      </c>
      <c r="H429" t="s">
        <v>21</v>
      </c>
      <c r="I429" t="s">
        <v>22</v>
      </c>
      <c r="J429" t="s">
        <v>35</v>
      </c>
      <c r="K429" t="s">
        <v>35</v>
      </c>
      <c r="N429" t="s">
        <v>1082</v>
      </c>
      <c r="O429" s="15">
        <v>3000</v>
      </c>
      <c r="P429" s="38">
        <f>1231+2601+281*4+188*4</f>
        <v>5708</v>
      </c>
      <c r="Q429" s="45">
        <f>P429/O429</f>
        <v>1.9026666666666667</v>
      </c>
    </row>
    <row r="430" spans="1:21" ht="14.5" x14ac:dyDescent="0.35">
      <c r="A430" s="34" t="s">
        <v>44</v>
      </c>
      <c r="B430" s="34" t="s">
        <v>40</v>
      </c>
      <c r="C430" s="34" t="s">
        <v>2331</v>
      </c>
      <c r="D430" s="34" t="s">
        <v>1919</v>
      </c>
      <c r="E430" s="34" t="s">
        <v>1920</v>
      </c>
      <c r="F430" s="35">
        <v>46103</v>
      </c>
      <c r="G430" s="34" t="s">
        <v>38</v>
      </c>
      <c r="H430" s="34" t="s">
        <v>1775</v>
      </c>
      <c r="I430" s="34" t="s">
        <v>22</v>
      </c>
      <c r="J430" s="36"/>
      <c r="K430" s="36" t="s">
        <v>333</v>
      </c>
      <c r="L430" s="36" t="s">
        <v>333</v>
      </c>
      <c r="M430" s="36" t="s">
        <v>333</v>
      </c>
      <c r="N430" s="34"/>
      <c r="O430" s="36">
        <v>6000</v>
      </c>
      <c r="P430" s="36">
        <v>5665</v>
      </c>
      <c r="Q430" s="45">
        <f>P430/O430</f>
        <v>0.94416666666666671</v>
      </c>
      <c r="R430" s="36"/>
      <c r="S430" s="37"/>
      <c r="T430" s="34"/>
      <c r="U430" s="34"/>
    </row>
    <row r="431" spans="1:21" ht="14.5" x14ac:dyDescent="0.35">
      <c r="A431" s="34" t="s">
        <v>44</v>
      </c>
      <c r="B431" s="34" t="s">
        <v>40</v>
      </c>
      <c r="C431" s="34" t="s">
        <v>2335</v>
      </c>
      <c r="D431" s="34" t="s">
        <v>1888</v>
      </c>
      <c r="E431" s="34" t="s">
        <v>1889</v>
      </c>
      <c r="F431" s="35">
        <v>46306</v>
      </c>
      <c r="G431" s="34" t="s">
        <v>38</v>
      </c>
      <c r="H431" s="34" t="s">
        <v>1775</v>
      </c>
      <c r="I431" s="34" t="s">
        <v>302</v>
      </c>
      <c r="J431" s="36">
        <v>1620</v>
      </c>
      <c r="K431" s="36">
        <v>3240</v>
      </c>
      <c r="L431" s="36">
        <v>3240</v>
      </c>
      <c r="M431" s="36" t="s">
        <v>333</v>
      </c>
      <c r="N431" s="36" t="s">
        <v>1890</v>
      </c>
      <c r="O431" s="36">
        <v>8000</v>
      </c>
      <c r="P431" s="36">
        <f>1218+1792+2189+447</f>
        <v>5646</v>
      </c>
      <c r="Q431" s="45">
        <f>P431/O431</f>
        <v>0.70574999999999999</v>
      </c>
      <c r="R431" s="36"/>
      <c r="S431" s="37"/>
      <c r="T431" s="34"/>
      <c r="U431" s="34"/>
    </row>
    <row r="432" spans="1:21" ht="14.5" x14ac:dyDescent="0.35">
      <c r="A432" t="s">
        <v>527</v>
      </c>
      <c r="B432" t="s">
        <v>40</v>
      </c>
      <c r="D432" t="s">
        <v>922</v>
      </c>
      <c r="E432" t="s">
        <v>923</v>
      </c>
      <c r="F432" s="4">
        <v>46186</v>
      </c>
      <c r="G432" t="s">
        <v>530</v>
      </c>
      <c r="I432" t="s">
        <v>22</v>
      </c>
      <c r="K432" t="s">
        <v>35</v>
      </c>
      <c r="M432" t="s">
        <v>35</v>
      </c>
      <c r="P432" s="38">
        <f>4821+769</f>
        <v>5590</v>
      </c>
      <c r="Q432" s="45" t="e">
        <f>P432/O432</f>
        <v>#DIV/0!</v>
      </c>
    </row>
    <row r="433" spans="1:21" ht="14.5" x14ac:dyDescent="0.35">
      <c r="A433" t="s">
        <v>924</v>
      </c>
      <c r="B433" t="s">
        <v>40</v>
      </c>
      <c r="D433" t="s">
        <v>925</v>
      </c>
      <c r="E433" t="s">
        <v>926</v>
      </c>
      <c r="F433" s="4">
        <v>46118</v>
      </c>
      <c r="G433" t="s">
        <v>926</v>
      </c>
      <c r="H433" t="s">
        <v>21</v>
      </c>
      <c r="I433" t="s">
        <v>22</v>
      </c>
      <c r="J433" t="s">
        <v>35</v>
      </c>
      <c r="K433" t="s">
        <v>35</v>
      </c>
      <c r="L433" t="s">
        <v>35</v>
      </c>
      <c r="O433" s="15">
        <v>14500</v>
      </c>
      <c r="P433" s="38">
        <f>527+483+2778+1733</f>
        <v>5521</v>
      </c>
      <c r="Q433" s="45">
        <f>P433/O433</f>
        <v>0.38075862068965516</v>
      </c>
    </row>
    <row r="434" spans="1:21" ht="14.5" x14ac:dyDescent="0.35">
      <c r="A434" t="s">
        <v>927</v>
      </c>
      <c r="B434" t="s">
        <v>40</v>
      </c>
      <c r="D434" t="s">
        <v>928</v>
      </c>
      <c r="E434" t="s">
        <v>929</v>
      </c>
      <c r="F434" s="4">
        <v>46110</v>
      </c>
      <c r="G434" t="s">
        <v>930</v>
      </c>
      <c r="I434" t="s">
        <v>22</v>
      </c>
      <c r="J434" t="s">
        <v>35</v>
      </c>
      <c r="K434" t="s">
        <v>35</v>
      </c>
      <c r="L434" t="s">
        <v>35</v>
      </c>
      <c r="N434">
        <v>4</v>
      </c>
      <c r="P434" s="38">
        <f>755+879+117+537+625+1290+766+535</f>
        <v>5504</v>
      </c>
      <c r="Q434" s="45" t="e">
        <f>P434/O434</f>
        <v>#DIV/0!</v>
      </c>
    </row>
    <row r="435" spans="1:21" ht="14.5" x14ac:dyDescent="0.35">
      <c r="A435" s="34" t="s">
        <v>44</v>
      </c>
      <c r="B435" s="34" t="s">
        <v>40</v>
      </c>
      <c r="C435" s="34" t="s">
        <v>2318</v>
      </c>
      <c r="D435" s="34" t="s">
        <v>45</v>
      </c>
      <c r="E435" s="34" t="s">
        <v>1935</v>
      </c>
      <c r="F435" s="35">
        <v>46117</v>
      </c>
      <c r="G435" s="34" t="s">
        <v>1798</v>
      </c>
      <c r="H435" s="34" t="s">
        <v>1775</v>
      </c>
      <c r="I435" s="34" t="s">
        <v>22</v>
      </c>
      <c r="J435" s="36"/>
      <c r="K435" s="36"/>
      <c r="L435" s="36">
        <v>5400</v>
      </c>
      <c r="M435" s="36"/>
      <c r="N435" s="34"/>
      <c r="O435" s="36">
        <v>5400</v>
      </c>
      <c r="P435" s="36">
        <v>5426</v>
      </c>
      <c r="Q435" s="45">
        <f>P435/O435</f>
        <v>1.0048148148148148</v>
      </c>
      <c r="R435" s="38"/>
      <c r="S435" s="39"/>
      <c r="T435" s="34"/>
      <c r="U435" s="34"/>
    </row>
    <row r="436" spans="1:21" ht="14.5" x14ac:dyDescent="0.35">
      <c r="A436" t="s">
        <v>181</v>
      </c>
      <c r="B436" t="s">
        <v>40</v>
      </c>
      <c r="D436" t="s">
        <v>931</v>
      </c>
      <c r="E436" t="s">
        <v>932</v>
      </c>
      <c r="F436" s="4">
        <v>46068</v>
      </c>
      <c r="G436" t="s">
        <v>933</v>
      </c>
      <c r="H436" t="s">
        <v>48</v>
      </c>
      <c r="I436" t="s">
        <v>302</v>
      </c>
      <c r="K436" t="s">
        <v>35</v>
      </c>
      <c r="N436" t="s">
        <v>495</v>
      </c>
      <c r="O436" s="15">
        <v>5300</v>
      </c>
      <c r="P436" s="38">
        <f>4327+267*4</f>
        <v>5395</v>
      </c>
      <c r="Q436" s="45">
        <f>P436/O436</f>
        <v>1.0179245283018867</v>
      </c>
      <c r="U436" t="s">
        <v>934</v>
      </c>
    </row>
    <row r="437" spans="1:21" ht="14.5" x14ac:dyDescent="0.35">
      <c r="A437" t="s">
        <v>347</v>
      </c>
      <c r="B437" t="s">
        <v>40</v>
      </c>
      <c r="D437" t="s">
        <v>935</v>
      </c>
      <c r="E437" t="s">
        <v>936</v>
      </c>
      <c r="F437" s="4">
        <v>46124</v>
      </c>
      <c r="I437" t="s">
        <v>22</v>
      </c>
      <c r="J437" t="s">
        <v>35</v>
      </c>
      <c r="L437" t="s">
        <v>35</v>
      </c>
      <c r="O437" s="15">
        <v>6500</v>
      </c>
      <c r="P437" s="38">
        <f>O437-O437*0.17</f>
        <v>5395</v>
      </c>
      <c r="Q437" s="45">
        <f>P437/O437</f>
        <v>0.83</v>
      </c>
    </row>
    <row r="438" spans="1:21" ht="14.5" x14ac:dyDescent="0.35">
      <c r="A438" t="s">
        <v>49</v>
      </c>
      <c r="B438" t="s">
        <v>50</v>
      </c>
      <c r="D438" t="s">
        <v>937</v>
      </c>
      <c r="E438" t="s">
        <v>938</v>
      </c>
      <c r="F438" s="4"/>
      <c r="G438" t="s">
        <v>939</v>
      </c>
      <c r="H438" t="s">
        <v>21</v>
      </c>
      <c r="I438" t="s">
        <v>22</v>
      </c>
      <c r="J438" t="s">
        <v>35</v>
      </c>
      <c r="K438" t="s">
        <v>35</v>
      </c>
      <c r="L438" t="s">
        <v>35</v>
      </c>
      <c r="M438" t="s">
        <v>35</v>
      </c>
      <c r="O438" s="30">
        <v>12000</v>
      </c>
      <c r="P438" s="40">
        <f>1473+362+1860+1635+12+14+19</f>
        <v>5375</v>
      </c>
      <c r="Q438" s="45">
        <f>P438/O438</f>
        <v>0.44791666666666669</v>
      </c>
      <c r="R438" s="30"/>
      <c r="S438" s="30"/>
    </row>
    <row r="439" spans="1:21" ht="14.5" x14ac:dyDescent="0.35">
      <c r="A439" s="34" t="s">
        <v>44</v>
      </c>
      <c r="B439" s="34" t="s">
        <v>40</v>
      </c>
      <c r="C439" s="34" t="s">
        <v>2318</v>
      </c>
      <c r="D439" s="34" t="s">
        <v>1857</v>
      </c>
      <c r="E439" s="34" t="s">
        <v>1938</v>
      </c>
      <c r="F439" s="35">
        <v>46166</v>
      </c>
      <c r="G439" s="34" t="s">
        <v>1859</v>
      </c>
      <c r="H439" s="34" t="s">
        <v>1775</v>
      </c>
      <c r="I439" s="34" t="s">
        <v>22</v>
      </c>
      <c r="J439" s="38"/>
      <c r="K439" s="38"/>
      <c r="L439" s="38" t="s">
        <v>333</v>
      </c>
      <c r="M439" s="38"/>
      <c r="N439" s="34"/>
      <c r="O439" s="38">
        <v>5300</v>
      </c>
      <c r="P439" s="38">
        <f>5318</f>
        <v>5318</v>
      </c>
      <c r="Q439" s="45">
        <f>P439/O439</f>
        <v>1.0033962264150944</v>
      </c>
      <c r="R439" s="38"/>
      <c r="S439" s="39"/>
      <c r="T439" s="34"/>
      <c r="U439" s="34"/>
    </row>
    <row r="440" spans="1:21" ht="14.5" x14ac:dyDescent="0.35">
      <c r="A440" t="s">
        <v>30</v>
      </c>
      <c r="B440" t="s">
        <v>31</v>
      </c>
      <c r="D440" t="s">
        <v>940</v>
      </c>
      <c r="E440" t="s">
        <v>941</v>
      </c>
      <c r="F440" s="4">
        <v>46080</v>
      </c>
      <c r="G440" t="s">
        <v>941</v>
      </c>
      <c r="H440" t="s">
        <v>21</v>
      </c>
      <c r="I440" t="s">
        <v>22</v>
      </c>
      <c r="P440" s="38">
        <f>1152+2280+783+1098</f>
        <v>5313</v>
      </c>
      <c r="Q440" s="45" t="e">
        <f>P440/O440</f>
        <v>#DIV/0!</v>
      </c>
    </row>
    <row r="441" spans="1:21" ht="14.5" x14ac:dyDescent="0.35">
      <c r="A441" t="s">
        <v>181</v>
      </c>
      <c r="B441" t="s">
        <v>40</v>
      </c>
      <c r="D441" t="s">
        <v>942</v>
      </c>
      <c r="E441" t="s">
        <v>943</v>
      </c>
      <c r="F441" s="4">
        <v>46158</v>
      </c>
      <c r="G441" t="s">
        <v>556</v>
      </c>
      <c r="H441" t="s">
        <v>21</v>
      </c>
      <c r="I441" t="s">
        <v>22</v>
      </c>
      <c r="K441" t="s">
        <v>35</v>
      </c>
      <c r="L441" t="s">
        <v>35</v>
      </c>
      <c r="O441" s="15">
        <v>7000</v>
      </c>
      <c r="P441" s="38">
        <f>3009+688+1603</f>
        <v>5300</v>
      </c>
      <c r="Q441" s="45">
        <f>P441/O441</f>
        <v>0.75714285714285712</v>
      </c>
      <c r="T441">
        <v>2011</v>
      </c>
    </row>
    <row r="442" spans="1:21" ht="14.5" x14ac:dyDescent="0.35">
      <c r="A442" t="s">
        <v>66</v>
      </c>
      <c r="B442" t="s">
        <v>40</v>
      </c>
      <c r="D442" t="s">
        <v>944</v>
      </c>
      <c r="E442" t="s">
        <v>945</v>
      </c>
      <c r="F442" s="4">
        <v>46152</v>
      </c>
      <c r="G442" t="s">
        <v>946</v>
      </c>
      <c r="I442" t="s">
        <v>22</v>
      </c>
      <c r="P442" s="38">
        <f>475+111+2187+946+850+703</f>
        <v>5272</v>
      </c>
      <c r="Q442" s="45" t="e">
        <f>P442/O442</f>
        <v>#DIV/0!</v>
      </c>
    </row>
    <row r="443" spans="1:21" ht="14.5" x14ac:dyDescent="0.35">
      <c r="A443" t="s">
        <v>98</v>
      </c>
      <c r="B443" t="s">
        <v>40</v>
      </c>
      <c r="D443" t="s">
        <v>99</v>
      </c>
      <c r="E443" t="s">
        <v>947</v>
      </c>
      <c r="F443" s="4">
        <v>46313</v>
      </c>
      <c r="G443" t="s">
        <v>130</v>
      </c>
      <c r="H443" t="s">
        <v>48</v>
      </c>
      <c r="I443" t="s">
        <v>22</v>
      </c>
      <c r="L443" t="s">
        <v>35</v>
      </c>
      <c r="M443" t="s">
        <v>35</v>
      </c>
      <c r="N443">
        <v>3</v>
      </c>
      <c r="O443" s="15">
        <v>5000</v>
      </c>
      <c r="P443" s="38">
        <f>871*6</f>
        <v>5226</v>
      </c>
      <c r="Q443" s="45">
        <f>P443/O443</f>
        <v>1.0451999999999999</v>
      </c>
    </row>
    <row r="444" spans="1:21" ht="14.5" x14ac:dyDescent="0.35">
      <c r="A444" t="s">
        <v>39</v>
      </c>
      <c r="B444" t="s">
        <v>40</v>
      </c>
      <c r="D444" t="s">
        <v>783</v>
      </c>
      <c r="E444" t="s">
        <v>948</v>
      </c>
      <c r="F444" s="4">
        <v>46145</v>
      </c>
      <c r="G444" t="s">
        <v>785</v>
      </c>
      <c r="H444" t="s">
        <v>21</v>
      </c>
      <c r="I444" t="s">
        <v>22</v>
      </c>
      <c r="P444" s="38">
        <v>5224</v>
      </c>
      <c r="Q444" s="45" t="e">
        <f>P444/O444</f>
        <v>#DIV/0!</v>
      </c>
    </row>
    <row r="445" spans="1:21" ht="14.5" x14ac:dyDescent="0.35">
      <c r="A445" t="s">
        <v>39</v>
      </c>
      <c r="B445" t="s">
        <v>40</v>
      </c>
      <c r="D445" t="s">
        <v>783</v>
      </c>
      <c r="E445" t="s">
        <v>949</v>
      </c>
      <c r="F445" s="4">
        <v>46145</v>
      </c>
      <c r="G445" t="s">
        <v>785</v>
      </c>
      <c r="H445" t="s">
        <v>21</v>
      </c>
      <c r="I445" t="s">
        <v>22</v>
      </c>
      <c r="K445" t="s">
        <v>35</v>
      </c>
      <c r="P445" s="38">
        <v>5224</v>
      </c>
      <c r="Q445" s="45" t="e">
        <f>P445/O445</f>
        <v>#DIV/0!</v>
      </c>
    </row>
    <row r="446" spans="1:21" ht="14.5" x14ac:dyDescent="0.35">
      <c r="A446" t="s">
        <v>124</v>
      </c>
      <c r="B446" t="s">
        <v>40</v>
      </c>
      <c r="D446" t="s">
        <v>950</v>
      </c>
      <c r="E446" t="s">
        <v>951</v>
      </c>
      <c r="F446" s="4">
        <v>46356</v>
      </c>
      <c r="G446" t="s">
        <v>3</v>
      </c>
      <c r="H446" t="s">
        <v>21</v>
      </c>
      <c r="I446" t="s">
        <v>22</v>
      </c>
      <c r="J446" t="s">
        <v>35</v>
      </c>
      <c r="K446" t="s">
        <v>35</v>
      </c>
      <c r="L446" t="s">
        <v>35</v>
      </c>
      <c r="M446" t="s">
        <v>35</v>
      </c>
      <c r="P446" s="38">
        <v>5206</v>
      </c>
      <c r="Q446" s="45" t="e">
        <f>P446/O446</f>
        <v>#DIV/0!</v>
      </c>
    </row>
    <row r="447" spans="1:21" ht="14.5" x14ac:dyDescent="0.35">
      <c r="A447" t="s">
        <v>66</v>
      </c>
      <c r="B447" t="s">
        <v>40</v>
      </c>
      <c r="D447" t="s">
        <v>952</v>
      </c>
      <c r="E447" t="s">
        <v>953</v>
      </c>
      <c r="F447" s="4">
        <v>46288</v>
      </c>
      <c r="G447" t="s">
        <v>953</v>
      </c>
      <c r="H447" t="s">
        <v>21</v>
      </c>
      <c r="I447" t="s">
        <v>22</v>
      </c>
      <c r="J447" t="s">
        <v>35</v>
      </c>
      <c r="K447" t="s">
        <v>35</v>
      </c>
      <c r="L447" t="s">
        <v>35</v>
      </c>
      <c r="P447" s="38">
        <f>3114+1498+485</f>
        <v>5097</v>
      </c>
      <c r="Q447" s="45" t="e">
        <f>P447/O447</f>
        <v>#DIV/0!</v>
      </c>
    </row>
    <row r="448" spans="1:21" ht="14.5" x14ac:dyDescent="0.35">
      <c r="A448" t="s">
        <v>124</v>
      </c>
      <c r="B448" t="s">
        <v>40</v>
      </c>
      <c r="D448" t="s">
        <v>954</v>
      </c>
      <c r="E448" t="s">
        <v>955</v>
      </c>
      <c r="I448" t="s">
        <v>956</v>
      </c>
      <c r="O448" s="15">
        <v>6000</v>
      </c>
      <c r="P448" s="38">
        <f>485+792+339+1403+1035+790+50+202</f>
        <v>5096</v>
      </c>
      <c r="Q448" s="45">
        <f>P448/O448</f>
        <v>0.84933333333333338</v>
      </c>
    </row>
    <row r="449" spans="1:21" ht="14.5" x14ac:dyDescent="0.35">
      <c r="A449" s="34" t="s">
        <v>44</v>
      </c>
      <c r="B449" s="34" t="s">
        <v>40</v>
      </c>
      <c r="C449" s="34" t="s">
        <v>503</v>
      </c>
      <c r="D449" s="34" t="s">
        <v>1891</v>
      </c>
      <c r="E449" s="34" t="s">
        <v>1892</v>
      </c>
      <c r="F449" s="35">
        <v>46144</v>
      </c>
      <c r="G449" s="34" t="s">
        <v>38</v>
      </c>
      <c r="H449" s="34" t="s">
        <v>1775</v>
      </c>
      <c r="I449" s="34" t="s">
        <v>22</v>
      </c>
      <c r="J449" s="38">
        <v>1700</v>
      </c>
      <c r="K449" s="38">
        <v>2400</v>
      </c>
      <c r="L449" s="38">
        <v>1000</v>
      </c>
      <c r="M449" s="38"/>
      <c r="N449" s="34" t="s">
        <v>1893</v>
      </c>
      <c r="O449" s="38">
        <v>7500</v>
      </c>
      <c r="P449" s="38">
        <f>1694+2416+975</f>
        <v>5085</v>
      </c>
      <c r="Q449" s="45">
        <f>P449/O449</f>
        <v>0.67800000000000005</v>
      </c>
      <c r="R449" s="38"/>
      <c r="S449" s="39"/>
      <c r="T449" s="34"/>
      <c r="U449" s="34"/>
    </row>
    <row r="450" spans="1:21" ht="14.5" x14ac:dyDescent="0.35">
      <c r="A450" t="s">
        <v>298</v>
      </c>
      <c r="B450" t="s">
        <v>17</v>
      </c>
      <c r="D450" t="s">
        <v>957</v>
      </c>
      <c r="E450" t="s">
        <v>958</v>
      </c>
      <c r="F450" s="4">
        <v>46124</v>
      </c>
      <c r="G450" t="s">
        <v>958</v>
      </c>
      <c r="H450" t="s">
        <v>21</v>
      </c>
      <c r="I450" t="s">
        <v>22</v>
      </c>
      <c r="J450" t="s">
        <v>35</v>
      </c>
      <c r="K450" t="s">
        <v>35</v>
      </c>
      <c r="L450" t="s">
        <v>35</v>
      </c>
      <c r="O450" s="30">
        <v>7000</v>
      </c>
      <c r="P450" s="38">
        <f>957+2858+1215+4</f>
        <v>5034</v>
      </c>
      <c r="Q450" s="45">
        <f>P450/O450</f>
        <v>0.71914285714285719</v>
      </c>
    </row>
    <row r="451" spans="1:21" ht="14.5" x14ac:dyDescent="0.35">
      <c r="A451" t="s">
        <v>30</v>
      </c>
      <c r="B451" t="s">
        <v>31</v>
      </c>
      <c r="D451" t="s">
        <v>961</v>
      </c>
      <c r="E451" t="s">
        <v>962</v>
      </c>
      <c r="F451" s="4">
        <v>46201</v>
      </c>
      <c r="G451" t="s">
        <v>38</v>
      </c>
      <c r="H451" t="s">
        <v>21</v>
      </c>
      <c r="I451" t="s">
        <v>22</v>
      </c>
      <c r="J451" t="s">
        <v>35</v>
      </c>
      <c r="K451" t="s">
        <v>35</v>
      </c>
      <c r="M451" t="s">
        <v>35</v>
      </c>
      <c r="P451" s="38">
        <f>1153+1440+2402</f>
        <v>4995</v>
      </c>
      <c r="Q451" s="45" t="e">
        <f>P451/O451</f>
        <v>#DIV/0!</v>
      </c>
      <c r="U451" t="s">
        <v>963</v>
      </c>
    </row>
    <row r="452" spans="1:21" ht="14.5" x14ac:dyDescent="0.35">
      <c r="A452" t="s">
        <v>98</v>
      </c>
      <c r="B452" t="s">
        <v>40</v>
      </c>
      <c r="D452" t="s">
        <v>417</v>
      </c>
      <c r="E452" t="s">
        <v>964</v>
      </c>
      <c r="F452" s="4">
        <v>46320</v>
      </c>
      <c r="G452" t="s">
        <v>130</v>
      </c>
      <c r="I452" t="s">
        <v>488</v>
      </c>
      <c r="N452" s="8" t="s">
        <v>965</v>
      </c>
      <c r="O452" s="15">
        <v>6000</v>
      </c>
      <c r="P452" s="38">
        <f>O452-O452*0.17</f>
        <v>4980</v>
      </c>
      <c r="Q452" s="45">
        <f>P452/O452</f>
        <v>0.83</v>
      </c>
      <c r="U452" t="s">
        <v>489</v>
      </c>
    </row>
    <row r="453" spans="1:21" ht="14.5" x14ac:dyDescent="0.35">
      <c r="A453" t="s">
        <v>24</v>
      </c>
      <c r="B453" t="s">
        <v>25</v>
      </c>
      <c r="D453" s="16" t="s">
        <v>966</v>
      </c>
      <c r="E453" s="16" t="s">
        <v>967</v>
      </c>
      <c r="F453" s="17">
        <v>46005</v>
      </c>
      <c r="G453" s="28" t="s">
        <v>968</v>
      </c>
      <c r="I453" t="s">
        <v>22</v>
      </c>
      <c r="J453" t="s">
        <v>35</v>
      </c>
      <c r="K453" t="s">
        <v>35</v>
      </c>
      <c r="L453" t="s">
        <v>35</v>
      </c>
      <c r="M453" t="s">
        <v>35</v>
      </c>
      <c r="N453" t="s">
        <v>277</v>
      </c>
      <c r="O453" s="15">
        <v>6000</v>
      </c>
      <c r="P453" s="38">
        <f>O453-O453*0.17</f>
        <v>4980</v>
      </c>
      <c r="Q453" s="45">
        <f>P453/O453</f>
        <v>0.83</v>
      </c>
    </row>
    <row r="454" spans="1:21" ht="14.5" x14ac:dyDescent="0.35">
      <c r="A454" t="s">
        <v>181</v>
      </c>
      <c r="B454" t="s">
        <v>40</v>
      </c>
      <c r="D454" t="s">
        <v>969</v>
      </c>
      <c r="E454" t="s">
        <v>970</v>
      </c>
      <c r="F454" s="4">
        <v>46075</v>
      </c>
      <c r="G454" t="s">
        <v>38</v>
      </c>
      <c r="H454" t="s">
        <v>21</v>
      </c>
      <c r="I454" t="s">
        <v>22</v>
      </c>
      <c r="K454" t="s">
        <v>35</v>
      </c>
      <c r="O454" s="15">
        <v>6000</v>
      </c>
      <c r="P454" s="38">
        <f>4356+152*4</f>
        <v>4964</v>
      </c>
      <c r="Q454" s="45">
        <f>P454/O454</f>
        <v>0.82733333333333337</v>
      </c>
      <c r="T454">
        <v>2015</v>
      </c>
    </row>
    <row r="455" spans="1:21" ht="14.5" x14ac:dyDescent="0.35">
      <c r="A455" s="34" t="s">
        <v>44</v>
      </c>
      <c r="B455" s="34" t="s">
        <v>40</v>
      </c>
      <c r="C455" s="34" t="s">
        <v>2331</v>
      </c>
      <c r="D455" s="34" t="s">
        <v>1835</v>
      </c>
      <c r="E455" s="34" t="s">
        <v>1844</v>
      </c>
      <c r="F455" s="35">
        <v>46299</v>
      </c>
      <c r="G455" s="34" t="s">
        <v>38</v>
      </c>
      <c r="H455" s="34" t="s">
        <v>1775</v>
      </c>
      <c r="I455" s="34" t="s">
        <v>718</v>
      </c>
      <c r="J455" s="36"/>
      <c r="K455" s="36"/>
      <c r="L455" s="36"/>
      <c r="M455" s="36"/>
      <c r="N455" s="34" t="s">
        <v>1831</v>
      </c>
      <c r="O455" s="36">
        <v>11800</v>
      </c>
      <c r="P455" s="36">
        <f>4950</f>
        <v>4950</v>
      </c>
      <c r="Q455" s="45">
        <f>P455/O455</f>
        <v>0.41949152542372881</v>
      </c>
      <c r="R455" s="36"/>
      <c r="S455" s="37"/>
      <c r="T455" s="34"/>
      <c r="U455" s="34"/>
    </row>
    <row r="456" spans="1:21" ht="14.5" x14ac:dyDescent="0.35">
      <c r="A456" t="s">
        <v>338</v>
      </c>
      <c r="B456" t="s">
        <v>40</v>
      </c>
      <c r="D456" t="s">
        <v>339</v>
      </c>
      <c r="E456" t="s">
        <v>971</v>
      </c>
      <c r="G456" t="s">
        <v>38</v>
      </c>
      <c r="P456" s="38">
        <f>4742+203</f>
        <v>4945</v>
      </c>
      <c r="Q456" s="45" t="e">
        <f>P456/O456</f>
        <v>#DIV/0!</v>
      </c>
      <c r="U456" t="s">
        <v>972</v>
      </c>
    </row>
    <row r="457" spans="1:21" ht="14.5" x14ac:dyDescent="0.35">
      <c r="A457" t="s">
        <v>24</v>
      </c>
      <c r="B457" t="s">
        <v>25</v>
      </c>
      <c r="D457" t="s">
        <v>141</v>
      </c>
      <c r="E457" t="s">
        <v>973</v>
      </c>
      <c r="F457" s="4">
        <v>46054</v>
      </c>
      <c r="G457" t="s">
        <v>757</v>
      </c>
      <c r="H457" t="s">
        <v>21</v>
      </c>
      <c r="I457" t="s">
        <v>22</v>
      </c>
      <c r="K457" t="s">
        <v>35</v>
      </c>
      <c r="L457" t="s">
        <v>35</v>
      </c>
      <c r="M457" t="s">
        <v>35</v>
      </c>
      <c r="P457" s="38">
        <f>2508+2389</f>
        <v>4897</v>
      </c>
      <c r="Q457" s="45" t="e">
        <f>P457/O457</f>
        <v>#DIV/0!</v>
      </c>
    </row>
    <row r="458" spans="1:21" ht="14.5" x14ac:dyDescent="0.35">
      <c r="A458" t="s">
        <v>66</v>
      </c>
      <c r="B458" t="s">
        <v>40</v>
      </c>
      <c r="D458" t="s">
        <v>609</v>
      </c>
      <c r="E458" t="s">
        <v>974</v>
      </c>
      <c r="F458" s="4">
        <v>46138</v>
      </c>
      <c r="G458" t="s">
        <v>975</v>
      </c>
      <c r="I458" t="s">
        <v>22</v>
      </c>
      <c r="O458" s="15">
        <v>5900</v>
      </c>
      <c r="P458" s="38">
        <f>O458-O458*0.17</f>
        <v>4897</v>
      </c>
      <c r="Q458" s="45">
        <f>P458/O458</f>
        <v>0.83</v>
      </c>
    </row>
    <row r="459" spans="1:21" ht="14.5" x14ac:dyDescent="0.35">
      <c r="A459" t="s">
        <v>737</v>
      </c>
      <c r="B459" t="s">
        <v>25</v>
      </c>
      <c r="D459" t="s">
        <v>976</v>
      </c>
      <c r="E459" t="s">
        <v>977</v>
      </c>
      <c r="F459" s="4">
        <v>46103</v>
      </c>
      <c r="G459" t="s">
        <v>740</v>
      </c>
      <c r="I459" t="s">
        <v>22</v>
      </c>
      <c r="J459" t="s">
        <v>35</v>
      </c>
      <c r="K459" t="s">
        <v>35</v>
      </c>
      <c r="M459" t="s">
        <v>35</v>
      </c>
      <c r="P459" s="38">
        <f>1010+2354+1521</f>
        <v>4885</v>
      </c>
      <c r="Q459" s="45" t="e">
        <f>P459/O459</f>
        <v>#DIV/0!</v>
      </c>
    </row>
    <row r="460" spans="1:21" ht="14.5" x14ac:dyDescent="0.35">
      <c r="A460" t="s">
        <v>39</v>
      </c>
      <c r="B460" t="s">
        <v>40</v>
      </c>
      <c r="D460" t="s">
        <v>897</v>
      </c>
      <c r="E460" t="s">
        <v>978</v>
      </c>
      <c r="F460" s="4">
        <v>46306</v>
      </c>
      <c r="G460" t="s">
        <v>899</v>
      </c>
      <c r="I460" t="s">
        <v>22</v>
      </c>
      <c r="J460" t="s">
        <v>35</v>
      </c>
      <c r="K460" t="s">
        <v>35</v>
      </c>
      <c r="L460" t="s">
        <v>35</v>
      </c>
      <c r="P460" s="38">
        <f>4880</f>
        <v>4880</v>
      </c>
      <c r="Q460" s="45" t="e">
        <f>P460/O460</f>
        <v>#DIV/0!</v>
      </c>
    </row>
    <row r="461" spans="1:21" ht="14.5" x14ac:dyDescent="0.35">
      <c r="A461" t="s">
        <v>124</v>
      </c>
      <c r="B461" t="s">
        <v>40</v>
      </c>
      <c r="D461" t="s">
        <v>979</v>
      </c>
      <c r="E461" t="s">
        <v>980</v>
      </c>
      <c r="F461" s="4">
        <v>46285</v>
      </c>
      <c r="G461" t="s">
        <v>3</v>
      </c>
      <c r="H461" t="s">
        <v>21</v>
      </c>
      <c r="I461" t="s">
        <v>22</v>
      </c>
      <c r="J461" t="s">
        <v>35</v>
      </c>
      <c r="K461" t="s">
        <v>35</v>
      </c>
      <c r="L461" t="s">
        <v>35</v>
      </c>
      <c r="P461" s="38">
        <f>1702+2204+973</f>
        <v>4879</v>
      </c>
      <c r="Q461" s="45" t="e">
        <f>P461/O461</f>
        <v>#DIV/0!</v>
      </c>
    </row>
    <row r="462" spans="1:21" ht="14.5" x14ac:dyDescent="0.35">
      <c r="A462" t="s">
        <v>347</v>
      </c>
      <c r="B462" t="s">
        <v>40</v>
      </c>
      <c r="D462" t="s">
        <v>981</v>
      </c>
      <c r="E462" t="s">
        <v>982</v>
      </c>
      <c r="F462" s="4">
        <v>46131</v>
      </c>
      <c r="G462" t="s">
        <v>983</v>
      </c>
      <c r="H462" t="s">
        <v>21</v>
      </c>
      <c r="I462" t="s">
        <v>22</v>
      </c>
      <c r="J462" t="s">
        <v>35</v>
      </c>
      <c r="L462" t="s">
        <v>35</v>
      </c>
      <c r="O462" s="15">
        <v>7000</v>
      </c>
      <c r="P462" s="40">
        <f>1621+3052+160</f>
        <v>4833</v>
      </c>
      <c r="Q462" s="45">
        <f>P462/O462</f>
        <v>0.69042857142857139</v>
      </c>
      <c r="R462" s="30"/>
      <c r="S462" s="30"/>
      <c r="U462" t="s">
        <v>984</v>
      </c>
    </row>
    <row r="463" spans="1:21" ht="14.5" x14ac:dyDescent="0.35">
      <c r="A463" s="34" t="s">
        <v>44</v>
      </c>
      <c r="B463" s="34" t="s">
        <v>40</v>
      </c>
      <c r="C463" s="34" t="s">
        <v>2318</v>
      </c>
      <c r="D463" s="34" t="s">
        <v>45</v>
      </c>
      <c r="E463" s="34" t="s">
        <v>1921</v>
      </c>
      <c r="F463" s="35">
        <v>46194</v>
      </c>
      <c r="G463" s="34" t="s">
        <v>1922</v>
      </c>
      <c r="H463" s="34" t="s">
        <v>1775</v>
      </c>
      <c r="I463" s="34" t="s">
        <v>22</v>
      </c>
      <c r="J463" s="36"/>
      <c r="K463" s="36"/>
      <c r="L463" s="36"/>
      <c r="M463" s="36"/>
      <c r="N463" s="34" t="s">
        <v>1883</v>
      </c>
      <c r="O463" s="36">
        <v>6000</v>
      </c>
      <c r="P463" s="36">
        <f>966*5</f>
        <v>4830</v>
      </c>
      <c r="Q463" s="45">
        <f>P463/O463</f>
        <v>0.80500000000000005</v>
      </c>
      <c r="R463" s="38"/>
      <c r="S463" s="39"/>
      <c r="T463" s="34"/>
      <c r="U463" s="34"/>
    </row>
    <row r="464" spans="1:21" ht="14.5" x14ac:dyDescent="0.35">
      <c r="A464" t="s">
        <v>63</v>
      </c>
      <c r="B464" t="s">
        <v>40</v>
      </c>
      <c r="D464" t="s">
        <v>986</v>
      </c>
      <c r="E464" t="s">
        <v>987</v>
      </c>
      <c r="F464" s="4">
        <v>46102</v>
      </c>
      <c r="G464" t="s">
        <v>38</v>
      </c>
      <c r="I464" t="s">
        <v>22</v>
      </c>
      <c r="L464" t="s">
        <v>35</v>
      </c>
      <c r="M464" t="s">
        <v>35</v>
      </c>
      <c r="N464">
        <v>15</v>
      </c>
      <c r="P464" s="38">
        <f>2945+1142+737</f>
        <v>4824</v>
      </c>
      <c r="Q464" s="45" t="e">
        <f>P464/O464</f>
        <v>#DIV/0!</v>
      </c>
      <c r="U464" t="s">
        <v>988</v>
      </c>
    </row>
    <row r="465" spans="1:21" ht="14.5" x14ac:dyDescent="0.35">
      <c r="A465" t="s">
        <v>49</v>
      </c>
      <c r="B465" t="s">
        <v>50</v>
      </c>
      <c r="D465" t="s">
        <v>56</v>
      </c>
      <c r="E465" t="s">
        <v>985</v>
      </c>
      <c r="F465" s="4">
        <v>46124</v>
      </c>
      <c r="G465" t="s">
        <v>364</v>
      </c>
      <c r="H465" t="s">
        <v>21</v>
      </c>
      <c r="I465" t="s">
        <v>22</v>
      </c>
      <c r="J465" t="s">
        <v>35</v>
      </c>
      <c r="K465" t="s">
        <v>35</v>
      </c>
      <c r="L465" t="s">
        <v>35</v>
      </c>
      <c r="M465" t="s">
        <v>35</v>
      </c>
      <c r="O465" s="30">
        <v>24500</v>
      </c>
      <c r="P465" s="40">
        <f>4065+759</f>
        <v>4824</v>
      </c>
      <c r="Q465" s="45">
        <f>P465/O465</f>
        <v>0.19689795918367348</v>
      </c>
      <c r="R465" s="30"/>
      <c r="S465" s="30"/>
    </row>
    <row r="466" spans="1:21" ht="14.5" x14ac:dyDescent="0.35">
      <c r="A466" s="34" t="s">
        <v>44</v>
      </c>
      <c r="B466" s="34" t="s">
        <v>40</v>
      </c>
      <c r="C466" s="34" t="s">
        <v>2318</v>
      </c>
      <c r="D466" s="34" t="s">
        <v>45</v>
      </c>
      <c r="E466" s="34" t="s">
        <v>1918</v>
      </c>
      <c r="F466" s="35">
        <v>46271</v>
      </c>
      <c r="G466" s="34" t="s">
        <v>380</v>
      </c>
      <c r="H466" s="34" t="s">
        <v>1775</v>
      </c>
      <c r="I466" s="34" t="s">
        <v>22</v>
      </c>
      <c r="J466" s="36"/>
      <c r="K466" s="36"/>
      <c r="L466" s="36">
        <v>6000</v>
      </c>
      <c r="M466" s="36"/>
      <c r="N466" s="34"/>
      <c r="O466" s="36">
        <v>6000</v>
      </c>
      <c r="P466" s="36">
        <v>4820</v>
      </c>
      <c r="Q466" s="45">
        <f>P466/O466</f>
        <v>0.80333333333333334</v>
      </c>
      <c r="R466" s="38"/>
      <c r="S466" s="39"/>
      <c r="T466" s="34"/>
      <c r="U466" s="34"/>
    </row>
    <row r="467" spans="1:21" ht="14.5" x14ac:dyDescent="0.35">
      <c r="A467" t="s">
        <v>39</v>
      </c>
      <c r="B467" t="s">
        <v>40</v>
      </c>
      <c r="D467" t="s">
        <v>2125</v>
      </c>
      <c r="E467" t="s">
        <v>2126</v>
      </c>
      <c r="F467" s="4">
        <v>46208</v>
      </c>
      <c r="G467" t="s">
        <v>255</v>
      </c>
      <c r="H467" t="s">
        <v>21</v>
      </c>
      <c r="I467" t="s">
        <v>22</v>
      </c>
      <c r="P467" s="38">
        <v>4806</v>
      </c>
      <c r="Q467" s="45" t="e">
        <f>P467/O467</f>
        <v>#DIV/0!</v>
      </c>
    </row>
    <row r="468" spans="1:21" ht="14.5" x14ac:dyDescent="0.35">
      <c r="A468" s="34" t="s">
        <v>44</v>
      </c>
      <c r="B468" s="34" t="s">
        <v>40</v>
      </c>
      <c r="C468" s="34" t="s">
        <v>2331</v>
      </c>
      <c r="D468" s="34" t="s">
        <v>1945</v>
      </c>
      <c r="E468" s="34" t="s">
        <v>1946</v>
      </c>
      <c r="F468" s="35">
        <v>46194</v>
      </c>
      <c r="G468" s="34" t="s">
        <v>38</v>
      </c>
      <c r="H468" s="34" t="s">
        <v>1775</v>
      </c>
      <c r="I468" s="34" t="s">
        <v>302</v>
      </c>
      <c r="J468" s="36" t="s">
        <v>333</v>
      </c>
      <c r="K468" s="36" t="s">
        <v>333</v>
      </c>
      <c r="L468" s="36" t="s">
        <v>333</v>
      </c>
      <c r="M468" s="36"/>
      <c r="N468" s="34"/>
      <c r="O468" s="36">
        <v>5000</v>
      </c>
      <c r="P468" s="36">
        <f>1625+1889+962+297</f>
        <v>4773</v>
      </c>
      <c r="Q468" s="45">
        <f>P468/O468</f>
        <v>0.9546</v>
      </c>
      <c r="R468" s="36"/>
      <c r="S468" s="37"/>
      <c r="T468" s="34"/>
      <c r="U468" s="34"/>
    </row>
    <row r="469" spans="1:21" ht="14.5" x14ac:dyDescent="0.35">
      <c r="A469" t="s">
        <v>124</v>
      </c>
      <c r="B469" t="s">
        <v>40</v>
      </c>
      <c r="D469" t="s">
        <v>989</v>
      </c>
      <c r="E469" t="s">
        <v>990</v>
      </c>
      <c r="F469" s="4">
        <v>46103</v>
      </c>
      <c r="G469" t="s">
        <v>38</v>
      </c>
      <c r="H469" t="s">
        <v>21</v>
      </c>
      <c r="I469" t="s">
        <v>22</v>
      </c>
      <c r="K469" t="s">
        <v>35</v>
      </c>
      <c r="L469" t="s">
        <v>35</v>
      </c>
      <c r="P469" s="38">
        <f>3477+1292</f>
        <v>4769</v>
      </c>
      <c r="Q469" s="45" t="e">
        <f>P469/O469</f>
        <v>#DIV/0!</v>
      </c>
      <c r="U469" t="s">
        <v>991</v>
      </c>
    </row>
    <row r="470" spans="1:21" ht="14.5" x14ac:dyDescent="0.35">
      <c r="A470" t="s">
        <v>66</v>
      </c>
      <c r="B470" t="s">
        <v>40</v>
      </c>
      <c r="D470" t="s">
        <v>992</v>
      </c>
      <c r="E470" t="s">
        <v>993</v>
      </c>
      <c r="F470" s="4">
        <v>46306</v>
      </c>
      <c r="G470" t="s">
        <v>994</v>
      </c>
      <c r="I470" t="s">
        <v>22</v>
      </c>
      <c r="J470" t="s">
        <v>35</v>
      </c>
      <c r="K470" t="s">
        <v>35</v>
      </c>
      <c r="L470" t="s">
        <v>35</v>
      </c>
      <c r="N470" t="s">
        <v>495</v>
      </c>
      <c r="P470" s="38">
        <f>631+2180+1913</f>
        <v>4724</v>
      </c>
      <c r="Q470" s="45" t="e">
        <f>P470/O470</f>
        <v>#DIV/0!</v>
      </c>
    </row>
    <row r="471" spans="1:21" ht="14.5" x14ac:dyDescent="0.35">
      <c r="A471" t="s">
        <v>66</v>
      </c>
      <c r="B471" t="s">
        <v>40</v>
      </c>
      <c r="D471" t="s">
        <v>67</v>
      </c>
      <c r="E471" t="s">
        <v>995</v>
      </c>
      <c r="F471" s="4">
        <v>46131</v>
      </c>
      <c r="G471" t="s">
        <v>996</v>
      </c>
      <c r="H471" t="s">
        <v>21</v>
      </c>
      <c r="I471" t="s">
        <v>22</v>
      </c>
      <c r="K471" t="s">
        <v>35</v>
      </c>
      <c r="L471" t="s">
        <v>35</v>
      </c>
      <c r="M471" t="s">
        <v>35</v>
      </c>
      <c r="N471">
        <v>25</v>
      </c>
      <c r="P471" s="38">
        <v>4700</v>
      </c>
      <c r="Q471" s="45" t="e">
        <f>P471/O471</f>
        <v>#DIV/0!</v>
      </c>
    </row>
    <row r="472" spans="1:21" ht="14.5" x14ac:dyDescent="0.35">
      <c r="A472" s="34" t="s">
        <v>44</v>
      </c>
      <c r="B472" s="34" t="s">
        <v>40</v>
      </c>
      <c r="C472" s="34" t="s">
        <v>2318</v>
      </c>
      <c r="D472" s="34" t="s">
        <v>45</v>
      </c>
      <c r="E472" s="34" t="s">
        <v>1931</v>
      </c>
      <c r="F472" s="35">
        <v>46152</v>
      </c>
      <c r="G472" s="34" t="s">
        <v>165</v>
      </c>
      <c r="H472" s="35" t="s">
        <v>48</v>
      </c>
      <c r="I472" s="35" t="s">
        <v>22</v>
      </c>
      <c r="J472" s="36"/>
      <c r="K472" s="36"/>
      <c r="L472" s="36"/>
      <c r="M472" s="36"/>
      <c r="N472" s="34"/>
      <c r="O472" s="36">
        <v>6000</v>
      </c>
      <c r="P472" s="36">
        <v>4689</v>
      </c>
      <c r="Q472" s="45">
        <f>P472/O472</f>
        <v>0.78149999999999997</v>
      </c>
      <c r="R472" s="36"/>
      <c r="S472" s="37"/>
      <c r="T472" s="34"/>
      <c r="U472" s="34"/>
    </row>
    <row r="473" spans="1:21" ht="14.5" x14ac:dyDescent="0.35">
      <c r="A473" t="s">
        <v>181</v>
      </c>
      <c r="B473" t="s">
        <v>40</v>
      </c>
      <c r="D473" t="s">
        <v>997</v>
      </c>
      <c r="E473" t="s">
        <v>998</v>
      </c>
      <c r="F473" s="4">
        <v>46201</v>
      </c>
      <c r="G473" t="s">
        <v>999</v>
      </c>
      <c r="I473" t="s">
        <v>956</v>
      </c>
      <c r="N473" t="s">
        <v>1000</v>
      </c>
      <c r="O473" s="15">
        <v>5000</v>
      </c>
      <c r="P473" s="38">
        <f>1188+867+1517+642+467</f>
        <v>4681</v>
      </c>
      <c r="Q473" s="45">
        <f>P473/O473</f>
        <v>0.93620000000000003</v>
      </c>
      <c r="T473">
        <v>2007</v>
      </c>
    </row>
    <row r="474" spans="1:21" ht="14.5" x14ac:dyDescent="0.35">
      <c r="A474" t="s">
        <v>66</v>
      </c>
      <c r="B474" t="s">
        <v>40</v>
      </c>
      <c r="D474" t="s">
        <v>1001</v>
      </c>
      <c r="E474" t="s">
        <v>1002</v>
      </c>
      <c r="F474" s="4">
        <v>46187</v>
      </c>
      <c r="G474" t="s">
        <v>3</v>
      </c>
      <c r="H474" t="s">
        <v>21</v>
      </c>
      <c r="I474" t="s">
        <v>22</v>
      </c>
      <c r="K474" t="s">
        <v>35</v>
      </c>
      <c r="L474" t="s">
        <v>35</v>
      </c>
      <c r="M474" t="s">
        <v>35</v>
      </c>
      <c r="P474" s="38">
        <f>2404+1016+1228</f>
        <v>4648</v>
      </c>
      <c r="Q474" s="45" t="e">
        <f>P474/O474</f>
        <v>#DIV/0!</v>
      </c>
    </row>
    <row r="475" spans="1:21" ht="14.5" x14ac:dyDescent="0.35">
      <c r="A475" t="s">
        <v>24</v>
      </c>
      <c r="B475" t="s">
        <v>25</v>
      </c>
      <c r="D475" t="s">
        <v>141</v>
      </c>
      <c r="E475" s="16" t="s">
        <v>1003</v>
      </c>
      <c r="F475" s="17">
        <v>46209</v>
      </c>
      <c r="G475" s="28" t="s">
        <v>653</v>
      </c>
      <c r="H475" t="s">
        <v>21</v>
      </c>
      <c r="I475" t="s">
        <v>22</v>
      </c>
      <c r="L475">
        <v>4630</v>
      </c>
      <c r="M475" t="s">
        <v>35</v>
      </c>
      <c r="P475" s="38">
        <f>SUM(L475)</f>
        <v>4630</v>
      </c>
      <c r="Q475" s="45" t="e">
        <f>P475/O475</f>
        <v>#DIV/0!</v>
      </c>
    </row>
    <row r="476" spans="1:21" ht="14.5" x14ac:dyDescent="0.35">
      <c r="A476" s="34" t="s">
        <v>44</v>
      </c>
      <c r="B476" s="34" t="s">
        <v>40</v>
      </c>
      <c r="C476" s="34" t="s">
        <v>2319</v>
      </c>
      <c r="D476" s="34" t="s">
        <v>1939</v>
      </c>
      <c r="E476" s="34" t="s">
        <v>1940</v>
      </c>
      <c r="F476" s="35">
        <v>46334</v>
      </c>
      <c r="G476" s="34" t="s">
        <v>1941</v>
      </c>
      <c r="H476" s="34" t="s">
        <v>1775</v>
      </c>
      <c r="I476" t="s">
        <v>488</v>
      </c>
      <c r="J476" s="36"/>
      <c r="K476" s="36"/>
      <c r="L476" s="36"/>
      <c r="M476" s="36"/>
      <c r="N476" s="34" t="s">
        <v>1942</v>
      </c>
      <c r="O476" s="36">
        <v>5200</v>
      </c>
      <c r="P476" s="36">
        <f>1720+2081+813</f>
        <v>4614</v>
      </c>
      <c r="Q476" s="45">
        <f>P476/O476</f>
        <v>0.88730769230769235</v>
      </c>
      <c r="R476" s="38"/>
      <c r="S476" s="39"/>
      <c r="T476" s="34"/>
      <c r="U476" s="34"/>
    </row>
    <row r="477" spans="1:21" ht="14.5" x14ac:dyDescent="0.35">
      <c r="A477" t="s">
        <v>98</v>
      </c>
      <c r="B477" t="s">
        <v>40</v>
      </c>
      <c r="D477" t="s">
        <v>1004</v>
      </c>
      <c r="E477" t="s">
        <v>1005</v>
      </c>
      <c r="F477" s="4">
        <v>46159</v>
      </c>
      <c r="I477" t="s">
        <v>208</v>
      </c>
      <c r="N477" t="s">
        <v>1006</v>
      </c>
      <c r="O477" s="15">
        <v>5000</v>
      </c>
      <c r="P477" s="38">
        <f>3370+980+231</f>
        <v>4581</v>
      </c>
      <c r="Q477" s="45">
        <f>P477/O477</f>
        <v>0.91620000000000001</v>
      </c>
    </row>
    <row r="478" spans="1:21" ht="14.5" x14ac:dyDescent="0.35">
      <c r="A478" t="s">
        <v>66</v>
      </c>
      <c r="B478" t="s">
        <v>40</v>
      </c>
      <c r="D478" t="s">
        <v>67</v>
      </c>
      <c r="E478" t="s">
        <v>1007</v>
      </c>
      <c r="F478" s="4">
        <v>46306</v>
      </c>
      <c r="G478" t="s">
        <v>130</v>
      </c>
      <c r="H478" t="s">
        <v>48</v>
      </c>
      <c r="I478" t="s">
        <v>22</v>
      </c>
      <c r="L478">
        <v>4471</v>
      </c>
      <c r="N478" t="s">
        <v>495</v>
      </c>
      <c r="O478" s="15">
        <v>6500</v>
      </c>
      <c r="P478" s="38">
        <f>L478+30+24+41</f>
        <v>4566</v>
      </c>
      <c r="Q478" s="45">
        <f>P478/O478</f>
        <v>0.70246153846153847</v>
      </c>
    </row>
    <row r="479" spans="1:21" ht="14.5" x14ac:dyDescent="0.35">
      <c r="A479" s="34" t="s">
        <v>44</v>
      </c>
      <c r="B479" s="34" t="s">
        <v>40</v>
      </c>
      <c r="C479" s="34" t="s">
        <v>503</v>
      </c>
      <c r="D479" s="34" t="s">
        <v>1933</v>
      </c>
      <c r="E479" s="34" t="s">
        <v>1934</v>
      </c>
      <c r="F479" s="35">
        <v>46143</v>
      </c>
      <c r="G479" s="34" t="s">
        <v>38</v>
      </c>
      <c r="H479" s="34" t="s">
        <v>1775</v>
      </c>
      <c r="I479" s="34" t="s">
        <v>22</v>
      </c>
      <c r="J479" s="38"/>
      <c r="K479" s="38"/>
      <c r="L479" s="38"/>
      <c r="M479" s="38"/>
      <c r="N479" s="34" t="s">
        <v>311</v>
      </c>
      <c r="O479" s="38">
        <v>5500</v>
      </c>
      <c r="P479" s="38">
        <v>4549</v>
      </c>
      <c r="Q479" s="45">
        <f>P479/O479</f>
        <v>0.8270909090909091</v>
      </c>
      <c r="R479" s="38"/>
      <c r="S479" s="39"/>
      <c r="T479" s="34"/>
      <c r="U479" s="34"/>
    </row>
    <row r="480" spans="1:21" ht="14.5" x14ac:dyDescent="0.35">
      <c r="A480" t="s">
        <v>98</v>
      </c>
      <c r="B480" t="s">
        <v>40</v>
      </c>
      <c r="D480" t="s">
        <v>1008</v>
      </c>
      <c r="E480" t="s">
        <v>1009</v>
      </c>
      <c r="F480" s="4">
        <v>46300</v>
      </c>
      <c r="G480" t="s">
        <v>1009</v>
      </c>
      <c r="H480" t="s">
        <v>21</v>
      </c>
      <c r="I480" t="s">
        <v>22</v>
      </c>
      <c r="K480" t="s">
        <v>35</v>
      </c>
      <c r="L480" t="s">
        <v>35</v>
      </c>
      <c r="M480" t="s">
        <v>35</v>
      </c>
      <c r="O480" s="15">
        <v>5000</v>
      </c>
      <c r="P480" s="38">
        <f>2489+1271+760</f>
        <v>4520</v>
      </c>
      <c r="Q480" s="45">
        <f>P480/O480</f>
        <v>0.90400000000000003</v>
      </c>
      <c r="T480">
        <v>2017</v>
      </c>
    </row>
    <row r="481" spans="1:21" ht="14.5" x14ac:dyDescent="0.35">
      <c r="A481" t="s">
        <v>66</v>
      </c>
      <c r="B481" t="s">
        <v>40</v>
      </c>
      <c r="D481" t="s">
        <v>67</v>
      </c>
      <c r="E481" t="s">
        <v>1010</v>
      </c>
      <c r="F481" s="4">
        <v>46180</v>
      </c>
      <c r="G481" t="s">
        <v>1011</v>
      </c>
      <c r="I481" t="s">
        <v>22</v>
      </c>
      <c r="K481" t="s">
        <v>35</v>
      </c>
      <c r="L481" t="s">
        <v>35</v>
      </c>
      <c r="P481" s="38">
        <f>1370+3150</f>
        <v>4520</v>
      </c>
      <c r="Q481" s="45" t="e">
        <f>P481/O481</f>
        <v>#DIV/0!</v>
      </c>
    </row>
    <row r="482" spans="1:21" ht="14.5" x14ac:dyDescent="0.35">
      <c r="A482" t="s">
        <v>499</v>
      </c>
      <c r="B482" t="s">
        <v>201</v>
      </c>
      <c r="D482" t="s">
        <v>1012</v>
      </c>
      <c r="E482" t="s">
        <v>1013</v>
      </c>
      <c r="F482" s="4">
        <v>46378</v>
      </c>
      <c r="G482" t="s">
        <v>1014</v>
      </c>
      <c r="H482" t="s">
        <v>48</v>
      </c>
      <c r="I482" t="s">
        <v>22</v>
      </c>
      <c r="J482" t="s">
        <v>35</v>
      </c>
      <c r="K482" t="s">
        <v>35</v>
      </c>
      <c r="L482" t="s">
        <v>35</v>
      </c>
      <c r="M482" t="s">
        <v>35</v>
      </c>
      <c r="O482" s="30">
        <v>10000</v>
      </c>
      <c r="P482" s="40">
        <f>272+927+1278+309+1711</f>
        <v>4497</v>
      </c>
      <c r="Q482" s="45">
        <f>P482/O482</f>
        <v>0.44969999999999999</v>
      </c>
      <c r="R482" s="30"/>
      <c r="S482" s="30"/>
      <c r="T482" s="7">
        <v>2006</v>
      </c>
    </row>
    <row r="483" spans="1:21" ht="14.5" x14ac:dyDescent="0.35">
      <c r="A483" s="34" t="s">
        <v>44</v>
      </c>
      <c r="B483" s="34" t="s">
        <v>40</v>
      </c>
      <c r="C483" s="34" t="s">
        <v>2335</v>
      </c>
      <c r="D483" s="34" t="s">
        <v>1951</v>
      </c>
      <c r="E483" s="34" t="s">
        <v>1952</v>
      </c>
      <c r="F483" s="35">
        <v>46340</v>
      </c>
      <c r="G483" s="34" t="s">
        <v>3</v>
      </c>
      <c r="H483" s="34" t="s">
        <v>1775</v>
      </c>
      <c r="I483" s="34" t="s">
        <v>302</v>
      </c>
      <c r="J483" s="38"/>
      <c r="K483" s="38">
        <v>3000</v>
      </c>
      <c r="L483" s="38" t="s">
        <v>333</v>
      </c>
      <c r="M483" s="38"/>
      <c r="N483" s="38" t="s">
        <v>1953</v>
      </c>
      <c r="O483" s="36">
        <v>5000</v>
      </c>
      <c r="P483" s="36">
        <f>2613+1843</f>
        <v>4456</v>
      </c>
      <c r="Q483" s="45">
        <f>P483/O483</f>
        <v>0.89119999999999999</v>
      </c>
      <c r="R483" s="38"/>
      <c r="S483" s="39"/>
      <c r="T483" s="34"/>
      <c r="U483" s="34"/>
    </row>
    <row r="484" spans="1:21" ht="14.5" x14ac:dyDescent="0.35">
      <c r="A484" s="34" t="s">
        <v>44</v>
      </c>
      <c r="B484" s="34" t="s">
        <v>40</v>
      </c>
      <c r="C484" s="34" t="s">
        <v>503</v>
      </c>
      <c r="D484" s="34" t="s">
        <v>503</v>
      </c>
      <c r="E484" s="34" t="s">
        <v>1807</v>
      </c>
      <c r="F484" s="35">
        <v>46341</v>
      </c>
      <c r="G484" s="34" t="s">
        <v>505</v>
      </c>
      <c r="H484" s="34" t="s">
        <v>1775</v>
      </c>
      <c r="I484" t="s">
        <v>488</v>
      </c>
      <c r="J484" s="36"/>
      <c r="K484" s="36"/>
      <c r="L484" s="36"/>
      <c r="M484" s="36"/>
      <c r="N484" s="34"/>
      <c r="O484" s="36">
        <v>15000</v>
      </c>
      <c r="P484" s="36">
        <f>3023+1408</f>
        <v>4431</v>
      </c>
      <c r="Q484" s="45">
        <f>P484/O484</f>
        <v>0.2954</v>
      </c>
      <c r="R484" s="38"/>
      <c r="S484" s="39"/>
      <c r="T484" s="34"/>
      <c r="U484" s="34"/>
    </row>
    <row r="485" spans="1:21" ht="14.5" x14ac:dyDescent="0.35">
      <c r="A485" t="s">
        <v>1015</v>
      </c>
      <c r="B485" t="s">
        <v>40</v>
      </c>
      <c r="D485" t="s">
        <v>1016</v>
      </c>
      <c r="E485" t="s">
        <v>1017</v>
      </c>
      <c r="F485" s="4">
        <v>46103</v>
      </c>
      <c r="G485" t="s">
        <v>1018</v>
      </c>
      <c r="I485" t="s">
        <v>22</v>
      </c>
      <c r="J485" t="s">
        <v>35</v>
      </c>
      <c r="K485" t="s">
        <v>35</v>
      </c>
      <c r="L485" t="s">
        <v>35</v>
      </c>
      <c r="M485" t="s">
        <v>35</v>
      </c>
      <c r="O485" s="15">
        <v>13000</v>
      </c>
      <c r="P485" s="38">
        <f>651+1627+1327+819</f>
        <v>4424</v>
      </c>
      <c r="Q485" s="45">
        <f>P485/O485</f>
        <v>0.34030769230769231</v>
      </c>
      <c r="T485">
        <v>1980</v>
      </c>
    </row>
    <row r="486" spans="1:21" ht="14.5" x14ac:dyDescent="0.35">
      <c r="A486" t="s">
        <v>181</v>
      </c>
      <c r="B486" t="s">
        <v>40</v>
      </c>
      <c r="D486" t="s">
        <v>182</v>
      </c>
      <c r="E486" t="s">
        <v>1019</v>
      </c>
      <c r="F486" s="4">
        <v>46131</v>
      </c>
      <c r="G486" t="s">
        <v>850</v>
      </c>
      <c r="H486" t="s">
        <v>48</v>
      </c>
      <c r="I486" t="s">
        <v>22</v>
      </c>
      <c r="N486" t="s">
        <v>1020</v>
      </c>
      <c r="O486" s="15">
        <v>8000</v>
      </c>
      <c r="P486" s="38">
        <v>4406</v>
      </c>
      <c r="Q486" s="45">
        <f>P486/O486</f>
        <v>0.55074999999999996</v>
      </c>
      <c r="T486">
        <v>2001</v>
      </c>
      <c r="U486" t="s">
        <v>1021</v>
      </c>
    </row>
    <row r="487" spans="1:21" ht="14.5" x14ac:dyDescent="0.35">
      <c r="A487" t="s">
        <v>66</v>
      </c>
      <c r="B487" t="s">
        <v>40</v>
      </c>
      <c r="D487" t="s">
        <v>1022</v>
      </c>
      <c r="E487" t="s">
        <v>1023</v>
      </c>
      <c r="F487" s="4">
        <v>46187</v>
      </c>
      <c r="I487" t="s">
        <v>22</v>
      </c>
      <c r="J487" t="s">
        <v>35</v>
      </c>
      <c r="K487" t="s">
        <v>35</v>
      </c>
      <c r="L487" t="s">
        <v>35</v>
      </c>
      <c r="P487" s="38">
        <f>651+167+1451+769+717+629</f>
        <v>4384</v>
      </c>
      <c r="Q487" s="45" t="e">
        <f>P487/O487</f>
        <v>#DIV/0!</v>
      </c>
    </row>
    <row r="488" spans="1:21" ht="14.5" x14ac:dyDescent="0.35">
      <c r="A488" t="s">
        <v>66</v>
      </c>
      <c r="B488" t="s">
        <v>40</v>
      </c>
      <c r="D488" t="s">
        <v>1024</v>
      </c>
      <c r="E488" t="s">
        <v>1025</v>
      </c>
      <c r="F488" s="4">
        <v>46152</v>
      </c>
      <c r="G488" t="s">
        <v>1026</v>
      </c>
      <c r="I488" t="s">
        <v>22</v>
      </c>
      <c r="J488" t="s">
        <v>35</v>
      </c>
      <c r="K488" t="s">
        <v>35</v>
      </c>
      <c r="L488" t="s">
        <v>35</v>
      </c>
      <c r="P488" s="38">
        <f>650+158+1686+1157+347+380</f>
        <v>4378</v>
      </c>
      <c r="Q488" s="45" t="e">
        <f>P488/O488</f>
        <v>#DIV/0!</v>
      </c>
    </row>
    <row r="489" spans="1:21" ht="14.5" x14ac:dyDescent="0.35">
      <c r="A489" t="s">
        <v>181</v>
      </c>
      <c r="B489" t="s">
        <v>40</v>
      </c>
      <c r="D489" t="s">
        <v>1027</v>
      </c>
      <c r="E489" t="s">
        <v>1028</v>
      </c>
      <c r="F489" s="4">
        <v>46138</v>
      </c>
      <c r="J489" t="s">
        <v>35</v>
      </c>
      <c r="K489" t="s">
        <v>35</v>
      </c>
      <c r="L489" t="s">
        <v>35</v>
      </c>
      <c r="O489" s="15">
        <f>1500+2600</f>
        <v>4100</v>
      </c>
      <c r="P489" s="38">
        <f>1474+2891+4</f>
        <v>4369</v>
      </c>
      <c r="Q489" s="45">
        <f>P489/O489</f>
        <v>1.065609756097561</v>
      </c>
      <c r="T489">
        <v>2001</v>
      </c>
      <c r="U489" t="s">
        <v>1029</v>
      </c>
    </row>
    <row r="490" spans="1:21" ht="14.5" x14ac:dyDescent="0.35">
      <c r="A490" t="s">
        <v>98</v>
      </c>
      <c r="B490" t="s">
        <v>40</v>
      </c>
      <c r="D490" t="s">
        <v>734</v>
      </c>
      <c r="E490" t="s">
        <v>1030</v>
      </c>
      <c r="F490" s="4">
        <v>46314</v>
      </c>
      <c r="G490" t="s">
        <v>38</v>
      </c>
      <c r="I490" t="s">
        <v>22</v>
      </c>
      <c r="K490" t="s">
        <v>35</v>
      </c>
      <c r="L490" t="s">
        <v>35</v>
      </c>
      <c r="M490" t="s">
        <v>35</v>
      </c>
      <c r="O490" s="15">
        <v>10000</v>
      </c>
      <c r="P490" s="38">
        <f>2278+1471+608</f>
        <v>4357</v>
      </c>
      <c r="Q490" s="45">
        <f>P490/O490</f>
        <v>0.43569999999999998</v>
      </c>
    </row>
    <row r="491" spans="1:21" ht="14.5" x14ac:dyDescent="0.35">
      <c r="A491" t="s">
        <v>72</v>
      </c>
      <c r="B491" t="s">
        <v>40</v>
      </c>
      <c r="D491" t="s">
        <v>1031</v>
      </c>
      <c r="E491" t="s">
        <v>1032</v>
      </c>
      <c r="F491" s="4">
        <v>46186</v>
      </c>
      <c r="I491" t="s">
        <v>22</v>
      </c>
      <c r="K491" t="s">
        <v>35</v>
      </c>
      <c r="O491" s="15">
        <v>4000</v>
      </c>
      <c r="P491" s="38">
        <f>4337</f>
        <v>4337</v>
      </c>
      <c r="Q491" s="45">
        <f>P491/O491</f>
        <v>1.0842499999999999</v>
      </c>
    </row>
    <row r="492" spans="1:21" ht="14.5" x14ac:dyDescent="0.35">
      <c r="A492" t="s">
        <v>98</v>
      </c>
      <c r="B492" t="s">
        <v>40</v>
      </c>
      <c r="D492" t="s">
        <v>417</v>
      </c>
      <c r="E492" t="s">
        <v>1033</v>
      </c>
      <c r="F492" s="4">
        <v>46160</v>
      </c>
      <c r="G492" t="s">
        <v>130</v>
      </c>
      <c r="H492" t="s">
        <v>48</v>
      </c>
      <c r="I492" t="s">
        <v>22</v>
      </c>
      <c r="L492" t="s">
        <v>35</v>
      </c>
      <c r="M492" t="s">
        <v>35</v>
      </c>
      <c r="O492" s="15">
        <v>4300</v>
      </c>
      <c r="P492" s="38">
        <f>2997+1327</f>
        <v>4324</v>
      </c>
      <c r="Q492" s="45">
        <f>P492/O492</f>
        <v>1.0055813953488373</v>
      </c>
      <c r="T492">
        <v>2012</v>
      </c>
    </row>
    <row r="493" spans="1:21" ht="14.5" x14ac:dyDescent="0.35">
      <c r="A493" t="s">
        <v>338</v>
      </c>
      <c r="B493" t="s">
        <v>40</v>
      </c>
      <c r="D493" t="s">
        <v>1034</v>
      </c>
      <c r="E493" t="s">
        <v>1035</v>
      </c>
      <c r="F493" s="4">
        <v>46333</v>
      </c>
      <c r="O493" s="15">
        <v>5200</v>
      </c>
      <c r="P493" s="38">
        <f>O493-O493*0.17</f>
        <v>4316</v>
      </c>
      <c r="Q493" s="45">
        <f>P493/O493</f>
        <v>0.83</v>
      </c>
    </row>
    <row r="494" spans="1:21" ht="14.5" x14ac:dyDescent="0.35">
      <c r="A494" t="s">
        <v>181</v>
      </c>
      <c r="B494" t="s">
        <v>40</v>
      </c>
      <c r="D494" t="s">
        <v>1036</v>
      </c>
      <c r="E494" t="s">
        <v>1037</v>
      </c>
      <c r="F494" s="4">
        <v>46082</v>
      </c>
      <c r="G494" t="s">
        <v>1038</v>
      </c>
      <c r="H494" t="s">
        <v>21</v>
      </c>
      <c r="I494" t="s">
        <v>22</v>
      </c>
      <c r="J494" t="s">
        <v>35</v>
      </c>
      <c r="K494" t="s">
        <v>35</v>
      </c>
      <c r="M494" t="s">
        <v>35</v>
      </c>
      <c r="N494">
        <v>30</v>
      </c>
      <c r="O494" s="15">
        <v>11000</v>
      </c>
      <c r="P494" s="38">
        <f>1133+1142+2009</f>
        <v>4284</v>
      </c>
      <c r="Q494" s="45">
        <f>P494/O494</f>
        <v>0.38945454545454544</v>
      </c>
      <c r="T494">
        <v>2021</v>
      </c>
    </row>
    <row r="495" spans="1:21" ht="14.5" x14ac:dyDescent="0.35">
      <c r="A495" t="s">
        <v>298</v>
      </c>
      <c r="B495" t="s">
        <v>17</v>
      </c>
      <c r="D495" t="s">
        <v>1039</v>
      </c>
      <c r="E495" t="s">
        <v>1040</v>
      </c>
      <c r="F495" s="4">
        <v>46144</v>
      </c>
      <c r="G495" t="s">
        <v>1041</v>
      </c>
      <c r="H495" t="s">
        <v>21</v>
      </c>
      <c r="I495" t="s">
        <v>22</v>
      </c>
      <c r="J495" t="s">
        <v>35</v>
      </c>
      <c r="K495" t="s">
        <v>35</v>
      </c>
      <c r="L495" t="s">
        <v>35</v>
      </c>
      <c r="M495" t="s">
        <v>35</v>
      </c>
      <c r="O495" s="30">
        <v>4000</v>
      </c>
      <c r="P495" s="40">
        <f>975+1100+1720+419</f>
        <v>4214</v>
      </c>
      <c r="Q495" s="45">
        <f>P495/O495</f>
        <v>1.0535000000000001</v>
      </c>
      <c r="R495" s="30"/>
      <c r="S495" s="30"/>
    </row>
    <row r="496" spans="1:21" ht="14.5" x14ac:dyDescent="0.35">
      <c r="A496" t="s">
        <v>181</v>
      </c>
      <c r="B496" t="s">
        <v>40</v>
      </c>
      <c r="D496" t="s">
        <v>192</v>
      </c>
      <c r="E496" t="s">
        <v>1042</v>
      </c>
      <c r="F496" s="4">
        <v>46145</v>
      </c>
      <c r="G496" t="s">
        <v>38</v>
      </c>
      <c r="H496" t="s">
        <v>21</v>
      </c>
      <c r="I496" t="s">
        <v>22</v>
      </c>
      <c r="K496" t="s">
        <v>35</v>
      </c>
      <c r="L496" t="s">
        <v>35</v>
      </c>
      <c r="M496" t="s">
        <v>35</v>
      </c>
      <c r="O496" s="15">
        <v>8000</v>
      </c>
      <c r="P496" s="38">
        <f>3811+390</f>
        <v>4201</v>
      </c>
      <c r="Q496" s="45">
        <f>P496/O496</f>
        <v>0.52512499999999995</v>
      </c>
      <c r="T496">
        <v>1976</v>
      </c>
      <c r="U496" t="s">
        <v>1043</v>
      </c>
    </row>
    <row r="497" spans="1:21" ht="14.5" x14ac:dyDescent="0.35">
      <c r="A497" t="s">
        <v>16</v>
      </c>
      <c r="B497" t="s">
        <v>17</v>
      </c>
      <c r="D497" t="s">
        <v>425</v>
      </c>
      <c r="E497" t="s">
        <v>2222</v>
      </c>
      <c r="F497" s="4">
        <v>46145</v>
      </c>
      <c r="G497" t="s">
        <v>38</v>
      </c>
      <c r="H497" t="s">
        <v>21</v>
      </c>
      <c r="I497" t="s">
        <v>22</v>
      </c>
      <c r="J497">
        <v>761</v>
      </c>
      <c r="K497">
        <v>2207</v>
      </c>
      <c r="L497">
        <v>883</v>
      </c>
      <c r="M497">
        <v>321</v>
      </c>
      <c r="P497" s="38">
        <f>SUM(J497:M497)</f>
        <v>4172</v>
      </c>
      <c r="Q497" s="45" t="e">
        <f>P497/O497</f>
        <v>#DIV/0!</v>
      </c>
      <c r="U497" t="s">
        <v>2223</v>
      </c>
    </row>
    <row r="498" spans="1:21" ht="14.5" x14ac:dyDescent="0.35">
      <c r="A498" t="s">
        <v>181</v>
      </c>
      <c r="B498" t="s">
        <v>40</v>
      </c>
      <c r="D498" t="s">
        <v>1055</v>
      </c>
      <c r="E498" t="s">
        <v>1056</v>
      </c>
      <c r="F498" s="4">
        <v>46145</v>
      </c>
      <c r="G498" t="s">
        <v>38</v>
      </c>
      <c r="H498" t="s">
        <v>21</v>
      </c>
      <c r="J498" t="s">
        <v>35</v>
      </c>
      <c r="K498" t="s">
        <v>35</v>
      </c>
      <c r="L498" t="s">
        <v>35</v>
      </c>
      <c r="O498" s="15">
        <v>5000</v>
      </c>
      <c r="P498" s="38">
        <f>O498-O498*0.17</f>
        <v>4150</v>
      </c>
      <c r="Q498" s="45">
        <f>P498/O498</f>
        <v>0.83</v>
      </c>
      <c r="T498">
        <v>2004</v>
      </c>
      <c r="U498" t="s">
        <v>1056</v>
      </c>
    </row>
    <row r="499" spans="1:21" ht="14.5" x14ac:dyDescent="0.35">
      <c r="A499" t="s">
        <v>24</v>
      </c>
      <c r="B499" t="s">
        <v>25</v>
      </c>
      <c r="D499" s="16" t="s">
        <v>1059</v>
      </c>
      <c r="E499" s="16" t="s">
        <v>1060</v>
      </c>
      <c r="F499" s="17">
        <v>46082</v>
      </c>
      <c r="G499" s="28" t="s">
        <v>38</v>
      </c>
      <c r="I499" t="s">
        <v>22</v>
      </c>
      <c r="K499" t="s">
        <v>35</v>
      </c>
      <c r="L499" t="s">
        <v>35</v>
      </c>
      <c r="O499" s="15">
        <v>5000</v>
      </c>
      <c r="P499" s="38">
        <f>O499-O499*0.17</f>
        <v>4150</v>
      </c>
      <c r="Q499" s="45">
        <f>P499/O499</f>
        <v>0.83</v>
      </c>
    </row>
    <row r="500" spans="1:21" ht="14.5" x14ac:dyDescent="0.35">
      <c r="A500" t="s">
        <v>24</v>
      </c>
      <c r="B500" t="s">
        <v>25</v>
      </c>
      <c r="D500" s="16" t="s">
        <v>1061</v>
      </c>
      <c r="E500" s="16" t="s">
        <v>1062</v>
      </c>
      <c r="F500" s="17">
        <v>45970</v>
      </c>
      <c r="G500" s="28" t="s">
        <v>38</v>
      </c>
      <c r="I500" t="s">
        <v>22</v>
      </c>
      <c r="J500" t="s">
        <v>35</v>
      </c>
      <c r="K500" t="s">
        <v>35</v>
      </c>
      <c r="L500" t="s">
        <v>35</v>
      </c>
      <c r="M500" t="s">
        <v>35</v>
      </c>
      <c r="O500" s="15">
        <v>5000</v>
      </c>
      <c r="P500" s="38">
        <f>O500-O500*0.17</f>
        <v>4150</v>
      </c>
      <c r="Q500" s="45">
        <f>P500/O500</f>
        <v>0.83</v>
      </c>
    </row>
    <row r="501" spans="1:21" ht="14.5" x14ac:dyDescent="0.35">
      <c r="A501" t="s">
        <v>181</v>
      </c>
      <c r="B501" t="s">
        <v>40</v>
      </c>
      <c r="D501" t="s">
        <v>182</v>
      </c>
      <c r="E501" t="s">
        <v>1052</v>
      </c>
      <c r="F501" s="4">
        <v>46335</v>
      </c>
      <c r="G501" t="s">
        <v>1053</v>
      </c>
      <c r="H501" t="s">
        <v>1054</v>
      </c>
      <c r="I501" t="s">
        <v>22</v>
      </c>
      <c r="M501" t="s">
        <v>35</v>
      </c>
      <c r="N501">
        <v>15</v>
      </c>
      <c r="O501" s="15">
        <v>5000</v>
      </c>
      <c r="P501" s="38">
        <f>O501-O501*0.17</f>
        <v>4150</v>
      </c>
      <c r="Q501" s="45">
        <f>P501/O501</f>
        <v>0.83</v>
      </c>
    </row>
    <row r="502" spans="1:21" ht="14.5" x14ac:dyDescent="0.35">
      <c r="A502" t="s">
        <v>24</v>
      </c>
      <c r="B502" t="s">
        <v>25</v>
      </c>
      <c r="D502" s="19" t="s">
        <v>1057</v>
      </c>
      <c r="E502" s="16" t="s">
        <v>1058</v>
      </c>
      <c r="F502" s="17">
        <v>46047</v>
      </c>
      <c r="G502" s="28" t="s">
        <v>653</v>
      </c>
      <c r="H502" t="s">
        <v>21</v>
      </c>
      <c r="I502" t="s">
        <v>22</v>
      </c>
      <c r="L502" t="s">
        <v>35</v>
      </c>
      <c r="M502" t="s">
        <v>35</v>
      </c>
      <c r="O502" s="15">
        <v>5000</v>
      </c>
      <c r="P502" s="38">
        <f>O502-O502*0.17</f>
        <v>4150</v>
      </c>
      <c r="Q502" s="45">
        <f>P502/O502</f>
        <v>0.83</v>
      </c>
    </row>
    <row r="503" spans="1:21" ht="14.5" x14ac:dyDescent="0.35">
      <c r="A503" t="s">
        <v>98</v>
      </c>
      <c r="B503" t="s">
        <v>40</v>
      </c>
      <c r="D503" t="s">
        <v>1047</v>
      </c>
      <c r="E503" t="s">
        <v>1048</v>
      </c>
      <c r="F503" s="4">
        <v>46075</v>
      </c>
      <c r="G503" t="s">
        <v>1049</v>
      </c>
      <c r="H503" t="s">
        <v>21</v>
      </c>
      <c r="I503" t="s">
        <v>956</v>
      </c>
      <c r="N503" t="s">
        <v>1050</v>
      </c>
      <c r="O503" s="15">
        <v>5000</v>
      </c>
      <c r="P503" s="38">
        <f>O503-O503*0.17</f>
        <v>4150</v>
      </c>
      <c r="Q503" s="45">
        <f>P503/O503</f>
        <v>0.83</v>
      </c>
      <c r="T503">
        <v>2017</v>
      </c>
      <c r="U503" t="s">
        <v>1051</v>
      </c>
    </row>
    <row r="504" spans="1:21" ht="14.5" x14ac:dyDescent="0.35">
      <c r="A504" t="s">
        <v>66</v>
      </c>
      <c r="B504" t="s">
        <v>40</v>
      </c>
      <c r="D504" t="s">
        <v>1044</v>
      </c>
      <c r="E504" t="s">
        <v>1045</v>
      </c>
      <c r="F504" s="4">
        <v>46193</v>
      </c>
      <c r="I504" t="s">
        <v>956</v>
      </c>
      <c r="N504" t="s">
        <v>1046</v>
      </c>
      <c r="O504" s="15">
        <v>5000</v>
      </c>
      <c r="P504" s="38">
        <f>O504-O504*0.17</f>
        <v>4150</v>
      </c>
      <c r="Q504" s="45">
        <f>P504/O504</f>
        <v>0.83</v>
      </c>
    </row>
    <row r="505" spans="1:21" ht="14.5" x14ac:dyDescent="0.35">
      <c r="A505" t="s">
        <v>499</v>
      </c>
      <c r="B505" t="s">
        <v>201</v>
      </c>
      <c r="D505" t="s">
        <v>1063</v>
      </c>
      <c r="E505" t="s">
        <v>1064</v>
      </c>
      <c r="F505" s="4">
        <v>46370</v>
      </c>
      <c r="I505" t="s">
        <v>22</v>
      </c>
      <c r="J505" t="s">
        <v>35</v>
      </c>
      <c r="L505" t="s">
        <v>35</v>
      </c>
      <c r="O505" s="30">
        <v>1600</v>
      </c>
      <c r="P505" s="40">
        <f>279+53+1174+507+1728+369+8+16</f>
        <v>4134</v>
      </c>
      <c r="Q505" s="45">
        <f>P505/O505</f>
        <v>2.5837500000000002</v>
      </c>
      <c r="R505" s="30"/>
      <c r="S505" s="30"/>
      <c r="T505" s="7"/>
    </row>
    <row r="506" spans="1:21" ht="14.5" x14ac:dyDescent="0.35">
      <c r="A506" t="s">
        <v>124</v>
      </c>
      <c r="B506" t="s">
        <v>40</v>
      </c>
      <c r="D506" t="s">
        <v>880</v>
      </c>
      <c r="E506" t="s">
        <v>1065</v>
      </c>
      <c r="F506" s="4">
        <v>46334</v>
      </c>
      <c r="I506" t="s">
        <v>22</v>
      </c>
      <c r="K506" t="s">
        <v>35</v>
      </c>
      <c r="P506" s="38">
        <v>4093</v>
      </c>
      <c r="Q506" s="45" t="e">
        <f>P506/O506</f>
        <v>#DIV/0!</v>
      </c>
    </row>
    <row r="507" spans="1:21" ht="14.5" x14ac:dyDescent="0.35">
      <c r="A507" t="s">
        <v>24</v>
      </c>
      <c r="B507" t="s">
        <v>25</v>
      </c>
      <c r="D507" t="s">
        <v>102</v>
      </c>
      <c r="E507" t="s">
        <v>1066</v>
      </c>
      <c r="F507" s="4">
        <v>46258</v>
      </c>
      <c r="G507" t="s">
        <v>757</v>
      </c>
      <c r="H507" t="s">
        <v>21</v>
      </c>
      <c r="I507" t="s">
        <v>22</v>
      </c>
      <c r="K507" t="s">
        <v>35</v>
      </c>
      <c r="L507" t="s">
        <v>35</v>
      </c>
      <c r="M507" t="s">
        <v>35</v>
      </c>
      <c r="P507" s="38">
        <f>1579+2497</f>
        <v>4076</v>
      </c>
      <c r="Q507" s="45" t="e">
        <f>P507/O507</f>
        <v>#DIV/0!</v>
      </c>
    </row>
    <row r="508" spans="1:21" ht="14.5" x14ac:dyDescent="0.35">
      <c r="A508" t="s">
        <v>30</v>
      </c>
      <c r="B508" t="s">
        <v>31</v>
      </c>
      <c r="D508" t="s">
        <v>1067</v>
      </c>
      <c r="E508" t="s">
        <v>1068</v>
      </c>
      <c r="F508" s="4">
        <v>46229</v>
      </c>
      <c r="G508" t="s">
        <v>113</v>
      </c>
      <c r="I508" t="s">
        <v>22</v>
      </c>
      <c r="K508" t="s">
        <v>35</v>
      </c>
      <c r="M508" t="s">
        <v>35</v>
      </c>
      <c r="P508" s="38">
        <f>2205+1855</f>
        <v>4060</v>
      </c>
      <c r="Q508" s="45" t="e">
        <f>P508/O508</f>
        <v>#DIV/0!</v>
      </c>
    </row>
    <row r="509" spans="1:21" ht="14.5" x14ac:dyDescent="0.35">
      <c r="A509" s="34" t="s">
        <v>44</v>
      </c>
      <c r="B509" s="34" t="s">
        <v>40</v>
      </c>
      <c r="C509" s="34" t="s">
        <v>2325</v>
      </c>
      <c r="D509" s="34" t="s">
        <v>1943</v>
      </c>
      <c r="E509" s="34" t="s">
        <v>1944</v>
      </c>
      <c r="F509" s="35">
        <v>46138</v>
      </c>
      <c r="G509" s="34" t="s">
        <v>1784</v>
      </c>
      <c r="H509" s="34" t="s">
        <v>1775</v>
      </c>
      <c r="I509" s="34" t="s">
        <v>22</v>
      </c>
      <c r="J509" s="36"/>
      <c r="K509" s="36" t="s">
        <v>333</v>
      </c>
      <c r="L509" s="36" t="s">
        <v>333</v>
      </c>
      <c r="M509" s="36" t="s">
        <v>333</v>
      </c>
      <c r="N509" s="36"/>
      <c r="O509" s="36">
        <v>5000</v>
      </c>
      <c r="P509" s="36">
        <f>1431+1983+642</f>
        <v>4056</v>
      </c>
      <c r="Q509" s="45">
        <f>P509/O509</f>
        <v>0.81120000000000003</v>
      </c>
      <c r="R509" s="36"/>
      <c r="S509" s="37"/>
      <c r="T509" s="34"/>
      <c r="U509" s="34"/>
    </row>
    <row r="510" spans="1:21" ht="14.5" x14ac:dyDescent="0.35">
      <c r="A510" t="s">
        <v>66</v>
      </c>
      <c r="B510" t="s">
        <v>40</v>
      </c>
      <c r="D510" t="s">
        <v>1069</v>
      </c>
      <c r="E510" t="s">
        <v>1070</v>
      </c>
      <c r="F510" s="4">
        <v>46298</v>
      </c>
      <c r="G510" t="s">
        <v>1071</v>
      </c>
      <c r="H510" t="s">
        <v>21</v>
      </c>
      <c r="I510" t="s">
        <v>22</v>
      </c>
      <c r="K510" t="s">
        <v>35</v>
      </c>
      <c r="P510" s="38">
        <f>4050</f>
        <v>4050</v>
      </c>
      <c r="Q510" s="45" t="e">
        <f>P510/O510</f>
        <v>#DIV/0!</v>
      </c>
    </row>
    <row r="511" spans="1:21" ht="14.5" x14ac:dyDescent="0.35">
      <c r="A511" t="s">
        <v>1072</v>
      </c>
      <c r="B511" t="s">
        <v>201</v>
      </c>
      <c r="D511" t="s">
        <v>1073</v>
      </c>
      <c r="E511" t="s">
        <v>1074</v>
      </c>
      <c r="F511" s="4">
        <v>46355</v>
      </c>
      <c r="G511" t="s">
        <v>204</v>
      </c>
      <c r="H511" t="s">
        <v>48</v>
      </c>
      <c r="I511" t="s">
        <v>22</v>
      </c>
      <c r="J511" t="s">
        <v>35</v>
      </c>
      <c r="K511" t="s">
        <v>35</v>
      </c>
      <c r="L511" t="s">
        <v>35</v>
      </c>
      <c r="M511" t="s">
        <v>35</v>
      </c>
      <c r="O511" s="30">
        <v>10000</v>
      </c>
      <c r="P511" s="40">
        <f>522+1183+2305+2</f>
        <v>4012</v>
      </c>
      <c r="Q511" s="45">
        <f>P511/O511</f>
        <v>0.4012</v>
      </c>
      <c r="R511" s="30"/>
      <c r="S511" s="30"/>
      <c r="T511" s="7">
        <v>2014</v>
      </c>
    </row>
    <row r="512" spans="1:21" ht="14.5" x14ac:dyDescent="0.35">
      <c r="A512" t="s">
        <v>581</v>
      </c>
      <c r="B512" t="s">
        <v>40</v>
      </c>
      <c r="D512" t="s">
        <v>582</v>
      </c>
      <c r="E512" t="s">
        <v>1075</v>
      </c>
      <c r="F512" s="4">
        <v>46181</v>
      </c>
      <c r="G512" t="s">
        <v>651</v>
      </c>
      <c r="I512" t="s">
        <v>22</v>
      </c>
      <c r="L512" t="s">
        <v>35</v>
      </c>
      <c r="N512">
        <v>4</v>
      </c>
      <c r="O512" s="15">
        <v>4500</v>
      </c>
      <c r="P512" s="38">
        <v>3983</v>
      </c>
      <c r="Q512" s="45">
        <f>P512/O512</f>
        <v>0.88511111111111107</v>
      </c>
    </row>
    <row r="513" spans="1:21" ht="14.5" x14ac:dyDescent="0.35">
      <c r="A513" t="s">
        <v>181</v>
      </c>
      <c r="B513" t="s">
        <v>40</v>
      </c>
      <c r="D513" t="s">
        <v>1076</v>
      </c>
      <c r="E513" t="s">
        <v>1077</v>
      </c>
      <c r="F513" s="4">
        <v>46270</v>
      </c>
      <c r="G513" t="s">
        <v>1078</v>
      </c>
      <c r="H513" t="s">
        <v>21</v>
      </c>
      <c r="I513" t="s">
        <v>22</v>
      </c>
      <c r="K513" t="s">
        <v>35</v>
      </c>
      <c r="N513" t="s">
        <v>1079</v>
      </c>
      <c r="O513" s="15">
        <v>1500</v>
      </c>
      <c r="P513" s="38">
        <f>3696+219</f>
        <v>3915</v>
      </c>
      <c r="Q513" s="45">
        <f>P513/O513</f>
        <v>2.61</v>
      </c>
      <c r="T513">
        <v>2002</v>
      </c>
    </row>
    <row r="514" spans="1:21" ht="14.5" x14ac:dyDescent="0.35">
      <c r="A514" t="s">
        <v>181</v>
      </c>
      <c r="B514" t="s">
        <v>40</v>
      </c>
      <c r="D514" t="s">
        <v>1083</v>
      </c>
      <c r="E514" t="s">
        <v>1084</v>
      </c>
      <c r="F514" s="4">
        <v>46341</v>
      </c>
      <c r="G514" t="s">
        <v>38</v>
      </c>
      <c r="H514" t="s">
        <v>21</v>
      </c>
      <c r="I514" t="s">
        <v>22</v>
      </c>
      <c r="J514" t="s">
        <v>35</v>
      </c>
      <c r="K514" t="s">
        <v>35</v>
      </c>
      <c r="O514" s="15">
        <v>3000</v>
      </c>
      <c r="P514" s="38">
        <f>1231+2601</f>
        <v>3832</v>
      </c>
      <c r="Q514" s="45">
        <f>P514/O514</f>
        <v>1.2773333333333334</v>
      </c>
      <c r="T514">
        <v>1995</v>
      </c>
      <c r="U514" s="20" t="s">
        <v>1085</v>
      </c>
    </row>
    <row r="515" spans="1:21" ht="14.5" x14ac:dyDescent="0.35">
      <c r="A515" t="s">
        <v>124</v>
      </c>
      <c r="B515" t="s">
        <v>40</v>
      </c>
      <c r="D515" t="s">
        <v>1086</v>
      </c>
      <c r="E515" t="s">
        <v>1087</v>
      </c>
      <c r="F515" s="4">
        <v>46152</v>
      </c>
      <c r="G515" t="s">
        <v>1088</v>
      </c>
      <c r="I515" t="s">
        <v>22</v>
      </c>
      <c r="P515" s="38">
        <f>648+1479+1349+325</f>
        <v>3801</v>
      </c>
      <c r="Q515" s="45" t="e">
        <f>P515/O515</f>
        <v>#DIV/0!</v>
      </c>
    </row>
    <row r="516" spans="1:21" ht="14.5" x14ac:dyDescent="0.35">
      <c r="A516" t="s">
        <v>181</v>
      </c>
      <c r="B516" t="s">
        <v>40</v>
      </c>
      <c r="D516" t="s">
        <v>1089</v>
      </c>
      <c r="E516" t="s">
        <v>1090</v>
      </c>
      <c r="F516" s="4">
        <v>46334</v>
      </c>
      <c r="G516" t="s">
        <v>1091</v>
      </c>
      <c r="H516" t="s">
        <v>21</v>
      </c>
      <c r="I516" t="s">
        <v>22</v>
      </c>
      <c r="K516" t="s">
        <v>35</v>
      </c>
      <c r="L516" t="s">
        <v>35</v>
      </c>
      <c r="M516" t="s">
        <v>35</v>
      </c>
      <c r="O516" s="15">
        <v>5000</v>
      </c>
      <c r="P516" s="38">
        <f>2658+1118</f>
        <v>3776</v>
      </c>
      <c r="Q516" s="45">
        <f>P516/O516</f>
        <v>0.75519999999999998</v>
      </c>
    </row>
    <row r="517" spans="1:21" ht="14.5" x14ac:dyDescent="0.35">
      <c r="A517" t="s">
        <v>124</v>
      </c>
      <c r="B517" t="s">
        <v>40</v>
      </c>
      <c r="D517" t="s">
        <v>1092</v>
      </c>
      <c r="E517" t="s">
        <v>1093</v>
      </c>
      <c r="F517" s="4">
        <v>46089</v>
      </c>
      <c r="G517" t="s">
        <v>1094</v>
      </c>
      <c r="I517" t="s">
        <v>956</v>
      </c>
      <c r="N517" t="s">
        <v>1095</v>
      </c>
      <c r="O517" s="15">
        <v>5000</v>
      </c>
      <c r="P517" s="38">
        <f>568+643+1275+837+295+143</f>
        <v>3761</v>
      </c>
      <c r="Q517" s="45">
        <f>P517/O517</f>
        <v>0.75219999999999998</v>
      </c>
    </row>
    <row r="518" spans="1:21" ht="14.5" x14ac:dyDescent="0.35">
      <c r="A518" t="s">
        <v>98</v>
      </c>
      <c r="B518" t="s">
        <v>40</v>
      </c>
      <c r="D518" t="s">
        <v>1096</v>
      </c>
      <c r="E518" t="s">
        <v>1097</v>
      </c>
      <c r="F518" s="4">
        <v>46283</v>
      </c>
      <c r="G518" t="s">
        <v>1098</v>
      </c>
      <c r="H518" t="s">
        <v>21</v>
      </c>
      <c r="I518" t="s">
        <v>22</v>
      </c>
      <c r="J518" t="s">
        <v>35</v>
      </c>
      <c r="K518" t="s">
        <v>35</v>
      </c>
      <c r="L518" t="s">
        <v>35</v>
      </c>
      <c r="M518" t="s">
        <v>35</v>
      </c>
      <c r="O518" s="15">
        <v>1600</v>
      </c>
      <c r="P518" s="38">
        <f>324+684+2009+742</f>
        <v>3759</v>
      </c>
      <c r="Q518" s="45">
        <f>P518/O518</f>
        <v>2.3493750000000002</v>
      </c>
    </row>
    <row r="519" spans="1:21" ht="14.5" x14ac:dyDescent="0.35">
      <c r="A519" t="s">
        <v>181</v>
      </c>
      <c r="B519" t="s">
        <v>40</v>
      </c>
      <c r="D519" t="s">
        <v>1099</v>
      </c>
      <c r="E519" t="s">
        <v>1100</v>
      </c>
      <c r="F519" s="4">
        <v>46131</v>
      </c>
      <c r="G519" t="s">
        <v>38</v>
      </c>
      <c r="H519" t="s">
        <v>21</v>
      </c>
      <c r="I519" t="s">
        <v>22</v>
      </c>
      <c r="J519" t="s">
        <v>35</v>
      </c>
      <c r="K519" t="s">
        <v>35</v>
      </c>
      <c r="N519">
        <v>16</v>
      </c>
      <c r="O519" s="15">
        <v>1100</v>
      </c>
      <c r="P519" s="38">
        <f>1911+997+832</f>
        <v>3740</v>
      </c>
      <c r="Q519" s="45">
        <f>P519/O519</f>
        <v>3.4</v>
      </c>
      <c r="U519" t="s">
        <v>1101</v>
      </c>
    </row>
    <row r="520" spans="1:21" ht="14.5" x14ac:dyDescent="0.35">
      <c r="A520" t="s">
        <v>181</v>
      </c>
      <c r="B520" t="s">
        <v>40</v>
      </c>
      <c r="D520" t="s">
        <v>1102</v>
      </c>
      <c r="E520" t="s">
        <v>1103</v>
      </c>
      <c r="F520" s="4">
        <v>46061</v>
      </c>
      <c r="G520" t="s">
        <v>850</v>
      </c>
      <c r="H520" t="s">
        <v>21</v>
      </c>
      <c r="I520" t="s">
        <v>22</v>
      </c>
      <c r="K520" t="s">
        <v>35</v>
      </c>
      <c r="L520" t="s">
        <v>35</v>
      </c>
      <c r="P520" s="38">
        <f>2696+1041</f>
        <v>3737</v>
      </c>
      <c r="Q520" s="45" t="e">
        <f>P520/O520</f>
        <v>#DIV/0!</v>
      </c>
    </row>
    <row r="521" spans="1:21" ht="14.5" x14ac:dyDescent="0.35">
      <c r="A521" t="s">
        <v>338</v>
      </c>
      <c r="B521" t="s">
        <v>40</v>
      </c>
      <c r="D521" t="s">
        <v>1522</v>
      </c>
      <c r="E521" t="s">
        <v>2173</v>
      </c>
      <c r="F521" s="4">
        <v>46123</v>
      </c>
      <c r="G521" t="s">
        <v>1524</v>
      </c>
      <c r="H521" t="s">
        <v>21</v>
      </c>
      <c r="I521" t="s">
        <v>22</v>
      </c>
      <c r="L521" t="s">
        <v>35</v>
      </c>
      <c r="N521" t="s">
        <v>495</v>
      </c>
      <c r="O521" s="15">
        <v>7000</v>
      </c>
      <c r="P521" s="38">
        <v>3716</v>
      </c>
      <c r="Q521" s="45">
        <f>P521/O521</f>
        <v>0.53085714285714281</v>
      </c>
    </row>
    <row r="522" spans="1:21" ht="14.5" x14ac:dyDescent="0.35">
      <c r="A522" t="s">
        <v>1104</v>
      </c>
      <c r="B522" t="s">
        <v>81</v>
      </c>
      <c r="D522" t="s">
        <v>1105</v>
      </c>
      <c r="E522" t="s">
        <v>1106</v>
      </c>
      <c r="F522" s="4">
        <v>46356</v>
      </c>
      <c r="G522" t="s">
        <v>1107</v>
      </c>
      <c r="H522" t="s">
        <v>21</v>
      </c>
      <c r="I522" t="s">
        <v>22</v>
      </c>
      <c r="J522" t="s">
        <v>35</v>
      </c>
      <c r="K522" t="s">
        <v>35</v>
      </c>
      <c r="M522" t="s">
        <v>35</v>
      </c>
      <c r="P522" s="38">
        <f>610+3100</f>
        <v>3710</v>
      </c>
      <c r="Q522" s="45" t="e">
        <f>P522/O522</f>
        <v>#DIV/0!</v>
      </c>
    </row>
    <row r="523" spans="1:21" ht="14.5" x14ac:dyDescent="0.35">
      <c r="A523" t="s">
        <v>60</v>
      </c>
      <c r="B523" t="s">
        <v>40</v>
      </c>
      <c r="D523" t="s">
        <v>61</v>
      </c>
      <c r="E523" t="s">
        <v>1108</v>
      </c>
      <c r="F523" s="4">
        <v>46138</v>
      </c>
      <c r="G523" t="s">
        <v>38</v>
      </c>
      <c r="H523" t="s">
        <v>21</v>
      </c>
      <c r="I523" t="s">
        <v>22</v>
      </c>
      <c r="K523" t="s">
        <v>35</v>
      </c>
      <c r="L523" t="s">
        <v>35</v>
      </c>
      <c r="M523" t="s">
        <v>35</v>
      </c>
      <c r="P523" s="38">
        <f>1779+931+970</f>
        <v>3680</v>
      </c>
      <c r="Q523" s="45" t="e">
        <f>P523/O523</f>
        <v>#DIV/0!</v>
      </c>
      <c r="U523" t="s">
        <v>1109</v>
      </c>
    </row>
    <row r="524" spans="1:21" ht="14.5" x14ac:dyDescent="0.35">
      <c r="A524" t="s">
        <v>459</v>
      </c>
      <c r="B524" t="s">
        <v>25</v>
      </c>
      <c r="D524" t="s">
        <v>1110</v>
      </c>
      <c r="E524" t="s">
        <v>1111</v>
      </c>
      <c r="F524" s="4">
        <v>46187</v>
      </c>
      <c r="G524" t="s">
        <v>1112</v>
      </c>
      <c r="H524" t="s">
        <v>48</v>
      </c>
      <c r="I524" t="s">
        <v>22</v>
      </c>
      <c r="J524" t="s">
        <v>35</v>
      </c>
      <c r="K524" t="s">
        <v>35</v>
      </c>
      <c r="L524" t="s">
        <v>35</v>
      </c>
      <c r="M524" t="s">
        <v>35</v>
      </c>
      <c r="O524" s="30">
        <v>7000</v>
      </c>
      <c r="P524" s="40">
        <f>595+1417+944+685+36</f>
        <v>3677</v>
      </c>
      <c r="Q524" s="45">
        <f>P524/O524</f>
        <v>0.52528571428571424</v>
      </c>
      <c r="R524" s="30"/>
      <c r="S524" s="30"/>
    </row>
    <row r="525" spans="1:21" ht="14.5" x14ac:dyDescent="0.35">
      <c r="A525" t="s">
        <v>181</v>
      </c>
      <c r="B525" t="s">
        <v>40</v>
      </c>
      <c r="D525" t="s">
        <v>192</v>
      </c>
      <c r="E525" t="s">
        <v>1113</v>
      </c>
      <c r="F525" s="4">
        <v>46073</v>
      </c>
      <c r="G525" t="s">
        <v>1114</v>
      </c>
      <c r="H525" t="s">
        <v>48</v>
      </c>
      <c r="I525" t="s">
        <v>22</v>
      </c>
      <c r="L525" t="s">
        <v>35</v>
      </c>
      <c r="P525" s="38">
        <f>448+3209</f>
        <v>3657</v>
      </c>
      <c r="Q525" s="45" t="e">
        <f>P525/O525</f>
        <v>#DIV/0!</v>
      </c>
      <c r="U525" t="s">
        <v>1115</v>
      </c>
    </row>
    <row r="526" spans="1:21" ht="14.5" x14ac:dyDescent="0.35">
      <c r="A526" s="34" t="s">
        <v>44</v>
      </c>
      <c r="B526" s="34" t="s">
        <v>40</v>
      </c>
      <c r="C526" s="34" t="s">
        <v>503</v>
      </c>
      <c r="D526" s="34" t="s">
        <v>1896</v>
      </c>
      <c r="E526" s="34" t="s">
        <v>1897</v>
      </c>
      <c r="F526" s="35">
        <v>46292</v>
      </c>
      <c r="G526" s="34" t="s">
        <v>3</v>
      </c>
      <c r="H526" s="34" t="s">
        <v>1775</v>
      </c>
      <c r="I526" s="34" t="s">
        <v>22</v>
      </c>
      <c r="J526" s="38"/>
      <c r="K526" s="38"/>
      <c r="L526" s="38" t="s">
        <v>333</v>
      </c>
      <c r="M526" s="38" t="s">
        <v>333</v>
      </c>
      <c r="N526" s="34" t="s">
        <v>1898</v>
      </c>
      <c r="O526" s="38">
        <v>7300</v>
      </c>
      <c r="P526" s="38">
        <f>530+1722+1349</f>
        <v>3601</v>
      </c>
      <c r="Q526" s="45">
        <f>P526/O526</f>
        <v>0.4932876712328767</v>
      </c>
      <c r="R526" s="38"/>
      <c r="S526" s="39"/>
      <c r="T526" s="34"/>
      <c r="U526" s="34"/>
    </row>
    <row r="527" spans="1:21" x14ac:dyDescent="0.4">
      <c r="A527" t="s">
        <v>1116</v>
      </c>
      <c r="B527" t="s">
        <v>40</v>
      </c>
      <c r="D527" t="s">
        <v>1116</v>
      </c>
      <c r="E527" t="s">
        <v>1117</v>
      </c>
      <c r="F527" s="4">
        <v>46068</v>
      </c>
      <c r="G527" t="s">
        <v>38</v>
      </c>
      <c r="H527" t="s">
        <v>21</v>
      </c>
      <c r="I527" t="s">
        <v>208</v>
      </c>
      <c r="K527" t="s">
        <v>35</v>
      </c>
      <c r="L527" t="s">
        <v>35</v>
      </c>
      <c r="N527" t="s">
        <v>1118</v>
      </c>
      <c r="O527" s="15">
        <v>4500</v>
      </c>
      <c r="P527" s="38">
        <f>1422+1173+491+475</f>
        <v>3561</v>
      </c>
      <c r="Q527" s="45">
        <f>P527/O527</f>
        <v>0.79133333333333333</v>
      </c>
      <c r="U527" s="21" t="s">
        <v>1119</v>
      </c>
    </row>
    <row r="528" spans="1:21" ht="14.5" x14ac:dyDescent="0.35">
      <c r="A528" t="s">
        <v>30</v>
      </c>
      <c r="B528" t="s">
        <v>31</v>
      </c>
      <c r="D528" t="s">
        <v>1120</v>
      </c>
      <c r="E528" t="s">
        <v>1121</v>
      </c>
      <c r="F528" s="4">
        <v>46340</v>
      </c>
      <c r="G528" t="s">
        <v>113</v>
      </c>
      <c r="I528" t="s">
        <v>22</v>
      </c>
      <c r="K528" t="s">
        <v>35</v>
      </c>
      <c r="M528" t="s">
        <v>35</v>
      </c>
      <c r="P528" s="38">
        <f>2514+989</f>
        <v>3503</v>
      </c>
      <c r="Q528" s="45" t="e">
        <f>P528/O528</f>
        <v>#DIV/0!</v>
      </c>
    </row>
    <row r="529" spans="1:21" ht="14.5" x14ac:dyDescent="0.35">
      <c r="A529" t="s">
        <v>181</v>
      </c>
      <c r="B529" t="s">
        <v>40</v>
      </c>
      <c r="D529" t="s">
        <v>1122</v>
      </c>
      <c r="E529" t="s">
        <v>1123</v>
      </c>
      <c r="F529" s="4">
        <v>46131</v>
      </c>
      <c r="G529" t="s">
        <v>38</v>
      </c>
      <c r="H529" t="s">
        <v>21</v>
      </c>
      <c r="I529" t="s">
        <v>22</v>
      </c>
      <c r="K529" t="s">
        <v>35</v>
      </c>
      <c r="L529" t="s">
        <v>35</v>
      </c>
      <c r="N529">
        <v>13</v>
      </c>
      <c r="O529" s="15">
        <v>1751</v>
      </c>
      <c r="P529" s="38">
        <f>1751+1730+16</f>
        <v>3497</v>
      </c>
      <c r="Q529" s="45">
        <f>P529/O529</f>
        <v>1.9971444888635066</v>
      </c>
      <c r="U529" s="18" t="s">
        <v>1124</v>
      </c>
    </row>
    <row r="530" spans="1:21" ht="14.5" x14ac:dyDescent="0.35">
      <c r="A530" t="s">
        <v>298</v>
      </c>
      <c r="B530" t="s">
        <v>17</v>
      </c>
      <c r="D530" t="s">
        <v>299</v>
      </c>
      <c r="E530" t="s">
        <v>1125</v>
      </c>
      <c r="F530" s="4">
        <v>46124</v>
      </c>
      <c r="G530" t="s">
        <v>1126</v>
      </c>
      <c r="H530" t="s">
        <v>21</v>
      </c>
      <c r="I530" t="s">
        <v>22</v>
      </c>
      <c r="K530" t="s">
        <v>35</v>
      </c>
      <c r="L530" t="s">
        <v>35</v>
      </c>
      <c r="M530" t="s">
        <v>35</v>
      </c>
      <c r="P530" s="38">
        <f>2200+895+345</f>
        <v>3440</v>
      </c>
      <c r="Q530" s="45" t="e">
        <f>P530/O530</f>
        <v>#DIV/0!</v>
      </c>
    </row>
    <row r="531" spans="1:21" ht="14.5" x14ac:dyDescent="0.35">
      <c r="A531" s="34" t="s">
        <v>44</v>
      </c>
      <c r="B531" s="34" t="s">
        <v>40</v>
      </c>
      <c r="C531" s="34" t="s">
        <v>2334</v>
      </c>
      <c r="D531" s="34" t="s">
        <v>1936</v>
      </c>
      <c r="E531" s="34" t="s">
        <v>1937</v>
      </c>
      <c r="F531" s="35">
        <v>46187</v>
      </c>
      <c r="G531" s="34" t="s">
        <v>1789</v>
      </c>
      <c r="H531" s="34" t="s">
        <v>1775</v>
      </c>
      <c r="I531" s="34" t="s">
        <v>956</v>
      </c>
      <c r="J531" s="38"/>
      <c r="K531" s="38"/>
      <c r="L531" s="38"/>
      <c r="M531" s="38"/>
      <c r="N531" s="34"/>
      <c r="O531" s="36">
        <v>5300</v>
      </c>
      <c r="P531" s="36">
        <f>528+1665+992+244</f>
        <v>3429</v>
      </c>
      <c r="Q531" s="45">
        <f>P531/O531</f>
        <v>0.6469811320754717</v>
      </c>
      <c r="R531" s="38"/>
      <c r="S531" s="39"/>
      <c r="T531" s="34"/>
      <c r="U531" s="34"/>
    </row>
    <row r="532" spans="1:21" ht="14.5" x14ac:dyDescent="0.35">
      <c r="A532" s="34" t="s">
        <v>44</v>
      </c>
      <c r="B532" s="34" t="s">
        <v>40</v>
      </c>
      <c r="C532" s="34" t="s">
        <v>2323</v>
      </c>
      <c r="D532" s="34" t="s">
        <v>1926</v>
      </c>
      <c r="E532" s="34" t="s">
        <v>1927</v>
      </c>
      <c r="F532" s="35">
        <v>46110</v>
      </c>
      <c r="G532" s="34" t="s">
        <v>453</v>
      </c>
      <c r="H532" s="34" t="s">
        <v>1775</v>
      </c>
      <c r="I532" s="34" t="s">
        <v>22</v>
      </c>
      <c r="J532" s="36" t="s">
        <v>333</v>
      </c>
      <c r="K532" s="36"/>
      <c r="L532" s="36"/>
      <c r="M532" s="36" t="s">
        <v>333</v>
      </c>
      <c r="N532" s="34" t="s">
        <v>1928</v>
      </c>
      <c r="O532" s="36">
        <v>6000</v>
      </c>
      <c r="P532" s="36">
        <f>239+1590+2+297*2+80*4+40*5+475</f>
        <v>3420</v>
      </c>
      <c r="Q532" s="45">
        <f>P532/O532</f>
        <v>0.56999999999999995</v>
      </c>
      <c r="R532" s="38"/>
      <c r="S532" s="39"/>
      <c r="T532" s="34"/>
      <c r="U532" s="34"/>
    </row>
    <row r="533" spans="1:21" ht="14.5" x14ac:dyDescent="0.35">
      <c r="A533" t="s">
        <v>24</v>
      </c>
      <c r="B533" t="s">
        <v>25</v>
      </c>
      <c r="D533" s="19" t="s">
        <v>1127</v>
      </c>
      <c r="E533" s="16" t="s">
        <v>1128</v>
      </c>
      <c r="F533" s="17">
        <v>46321</v>
      </c>
      <c r="G533" s="28" t="s">
        <v>653</v>
      </c>
      <c r="H533" t="s">
        <v>21</v>
      </c>
      <c r="I533" t="s">
        <v>22</v>
      </c>
      <c r="J533" t="s">
        <v>35</v>
      </c>
      <c r="K533" t="s">
        <v>35</v>
      </c>
      <c r="L533" t="s">
        <v>35</v>
      </c>
      <c r="M533" t="s">
        <v>35</v>
      </c>
      <c r="P533" s="38">
        <v>3417</v>
      </c>
      <c r="Q533" s="45" t="e">
        <f>P533/O533</f>
        <v>#DIV/0!</v>
      </c>
    </row>
    <row r="534" spans="1:21" ht="14.5" x14ac:dyDescent="0.35">
      <c r="A534" t="s">
        <v>181</v>
      </c>
      <c r="B534" t="s">
        <v>40</v>
      </c>
      <c r="D534" t="s">
        <v>1129</v>
      </c>
      <c r="E534" t="s">
        <v>1130</v>
      </c>
      <c r="F534" s="4">
        <v>46299</v>
      </c>
      <c r="G534" t="s">
        <v>850</v>
      </c>
      <c r="H534" t="s">
        <v>21</v>
      </c>
      <c r="I534" t="s">
        <v>22</v>
      </c>
      <c r="K534" t="s">
        <v>35</v>
      </c>
      <c r="L534" t="s">
        <v>35</v>
      </c>
      <c r="N534">
        <v>30</v>
      </c>
      <c r="P534" s="38">
        <f>773+1808+828</f>
        <v>3409</v>
      </c>
      <c r="Q534" s="45" t="e">
        <f>P534/O534</f>
        <v>#DIV/0!</v>
      </c>
    </row>
    <row r="535" spans="1:21" ht="14.5" x14ac:dyDescent="0.35">
      <c r="A535" t="s">
        <v>66</v>
      </c>
      <c r="B535" t="s">
        <v>40</v>
      </c>
      <c r="D535" t="s">
        <v>328</v>
      </c>
      <c r="E535" t="s">
        <v>1131</v>
      </c>
      <c r="F535" s="4">
        <v>46192</v>
      </c>
      <c r="G535" t="s">
        <v>606</v>
      </c>
      <c r="I535" t="s">
        <v>22</v>
      </c>
      <c r="N535" t="s">
        <v>1132</v>
      </c>
      <c r="P535" s="38">
        <f>516+793+1152+920</f>
        <v>3381</v>
      </c>
      <c r="Q535" s="45" t="e">
        <f>P535/O535</f>
        <v>#DIV/0!</v>
      </c>
    </row>
    <row r="536" spans="1:21" ht="14.5" x14ac:dyDescent="0.35">
      <c r="A536" t="s">
        <v>527</v>
      </c>
      <c r="B536" t="s">
        <v>40</v>
      </c>
      <c r="D536" t="s">
        <v>1135</v>
      </c>
      <c r="E536" t="s">
        <v>1136</v>
      </c>
      <c r="F536" s="4">
        <v>46284</v>
      </c>
      <c r="G536" t="s">
        <v>530</v>
      </c>
      <c r="I536" t="s">
        <v>22</v>
      </c>
      <c r="K536" t="s">
        <v>35</v>
      </c>
      <c r="L536" t="s">
        <v>35</v>
      </c>
      <c r="P536" s="38">
        <f>2726+652</f>
        <v>3378</v>
      </c>
      <c r="Q536" s="45" t="e">
        <f>P536/O536</f>
        <v>#DIV/0!</v>
      </c>
    </row>
    <row r="537" spans="1:21" ht="14.5" x14ac:dyDescent="0.35">
      <c r="A537" t="s">
        <v>266</v>
      </c>
      <c r="B537" t="s">
        <v>40</v>
      </c>
      <c r="D537" t="s">
        <v>1133</v>
      </c>
      <c r="E537" t="s">
        <v>1134</v>
      </c>
      <c r="F537" s="4">
        <v>46194</v>
      </c>
      <c r="G537" t="s">
        <v>1134</v>
      </c>
      <c r="H537" t="s">
        <v>21</v>
      </c>
      <c r="J537" t="s">
        <v>35</v>
      </c>
      <c r="K537" t="s">
        <v>35</v>
      </c>
      <c r="L537" t="s">
        <v>35</v>
      </c>
      <c r="P537" s="38">
        <f>109+426+588+844+534+877</f>
        <v>3378</v>
      </c>
      <c r="Q537" s="45" t="e">
        <f>P537/O537</f>
        <v>#DIV/0!</v>
      </c>
    </row>
    <row r="538" spans="1:21" ht="14.5" x14ac:dyDescent="0.35">
      <c r="A538" t="s">
        <v>527</v>
      </c>
      <c r="B538" t="s">
        <v>40</v>
      </c>
      <c r="D538" t="s">
        <v>1137</v>
      </c>
      <c r="E538" t="s">
        <v>1138</v>
      </c>
      <c r="F538" s="4">
        <v>46172</v>
      </c>
      <c r="G538" t="s">
        <v>530</v>
      </c>
      <c r="I538" t="s">
        <v>22</v>
      </c>
      <c r="K538" t="s">
        <v>35</v>
      </c>
      <c r="L538" t="s">
        <v>35</v>
      </c>
      <c r="N538" t="s">
        <v>495</v>
      </c>
      <c r="P538" s="38">
        <f>748+2608</f>
        <v>3356</v>
      </c>
      <c r="Q538" s="45" t="e">
        <f>P538/O538</f>
        <v>#DIV/0!</v>
      </c>
    </row>
    <row r="539" spans="1:21" ht="14.5" x14ac:dyDescent="0.35">
      <c r="A539" t="s">
        <v>24</v>
      </c>
      <c r="B539" t="s">
        <v>25</v>
      </c>
      <c r="D539" s="16" t="s">
        <v>26</v>
      </c>
      <c r="E539" s="16" t="s">
        <v>1148</v>
      </c>
      <c r="F539" s="17">
        <v>45963</v>
      </c>
      <c r="G539" s="28" t="s">
        <v>1149</v>
      </c>
      <c r="I539" t="s">
        <v>22</v>
      </c>
      <c r="K539" t="s">
        <v>35</v>
      </c>
      <c r="L539" t="s">
        <v>35</v>
      </c>
      <c r="M539" t="s">
        <v>35</v>
      </c>
      <c r="O539" s="15">
        <v>4000</v>
      </c>
      <c r="P539" s="38">
        <f>O539-O539*0.17</f>
        <v>3320</v>
      </c>
      <c r="Q539" s="45">
        <f>P539/O539</f>
        <v>0.83</v>
      </c>
    </row>
    <row r="540" spans="1:21" ht="14.5" x14ac:dyDescent="0.35">
      <c r="A540" t="s">
        <v>98</v>
      </c>
      <c r="B540" t="s">
        <v>40</v>
      </c>
      <c r="D540" t="s">
        <v>1143</v>
      </c>
      <c r="E540" t="s">
        <v>1144</v>
      </c>
      <c r="F540" s="4">
        <v>46368</v>
      </c>
      <c r="G540" t="s">
        <v>130</v>
      </c>
      <c r="I540" t="s">
        <v>488</v>
      </c>
      <c r="N540" t="s">
        <v>1145</v>
      </c>
      <c r="O540" s="15">
        <v>4000</v>
      </c>
      <c r="P540" s="38">
        <f>O540-O540*0.17</f>
        <v>3320</v>
      </c>
      <c r="Q540" s="45">
        <f>P540/O540</f>
        <v>0.83</v>
      </c>
      <c r="U540" t="s">
        <v>489</v>
      </c>
    </row>
    <row r="541" spans="1:21" ht="14.5" x14ac:dyDescent="0.35">
      <c r="A541" t="s">
        <v>737</v>
      </c>
      <c r="B541" t="s">
        <v>25</v>
      </c>
      <c r="D541" t="s">
        <v>1139</v>
      </c>
      <c r="E541" t="s">
        <v>1140</v>
      </c>
      <c r="F541" s="4">
        <v>46284</v>
      </c>
      <c r="G541" t="s">
        <v>1140</v>
      </c>
      <c r="H541" t="s">
        <v>21</v>
      </c>
      <c r="I541" t="s">
        <v>1141</v>
      </c>
      <c r="K541" t="s">
        <v>35</v>
      </c>
      <c r="L541" t="s">
        <v>35</v>
      </c>
      <c r="N541" t="s">
        <v>1142</v>
      </c>
      <c r="O541" s="30">
        <v>4000</v>
      </c>
      <c r="P541" s="38">
        <f>O541-O541*0.17</f>
        <v>3320</v>
      </c>
      <c r="Q541" s="45">
        <f>P541/O541</f>
        <v>0.83</v>
      </c>
    </row>
    <row r="542" spans="1:21" ht="14.5" x14ac:dyDescent="0.35">
      <c r="A542" t="s">
        <v>124</v>
      </c>
      <c r="B542" t="s">
        <v>40</v>
      </c>
      <c r="D542" t="s">
        <v>1146</v>
      </c>
      <c r="E542" t="s">
        <v>1147</v>
      </c>
      <c r="F542" s="4">
        <v>46300</v>
      </c>
      <c r="I542" t="s">
        <v>22</v>
      </c>
      <c r="O542" s="15">
        <v>4000</v>
      </c>
      <c r="P542" s="38">
        <f>O542-O542*0.17</f>
        <v>3320</v>
      </c>
      <c r="Q542" s="45">
        <f>P542/O542</f>
        <v>0.83</v>
      </c>
    </row>
    <row r="543" spans="1:21" ht="14.5" x14ac:dyDescent="0.35">
      <c r="A543" t="s">
        <v>66</v>
      </c>
      <c r="B543" t="s">
        <v>40</v>
      </c>
      <c r="D543" t="s">
        <v>2007</v>
      </c>
      <c r="E543" t="s">
        <v>2008</v>
      </c>
      <c r="F543" s="4">
        <v>46368</v>
      </c>
      <c r="I543" t="s">
        <v>22</v>
      </c>
      <c r="K543" t="s">
        <v>35</v>
      </c>
      <c r="P543" s="38">
        <f>3288</f>
        <v>3288</v>
      </c>
      <c r="Q543" s="45" t="e">
        <f>P543/O543</f>
        <v>#DIV/0!</v>
      </c>
    </row>
    <row r="544" spans="1:21" ht="14.5" x14ac:dyDescent="0.35">
      <c r="A544" t="s">
        <v>181</v>
      </c>
      <c r="B544" t="s">
        <v>40</v>
      </c>
      <c r="D544" t="s">
        <v>1150</v>
      </c>
      <c r="E544" t="s">
        <v>1151</v>
      </c>
      <c r="F544" s="4">
        <v>46089</v>
      </c>
      <c r="G544" t="s">
        <v>38</v>
      </c>
      <c r="H544" t="s">
        <v>21</v>
      </c>
      <c r="J544" t="s">
        <v>35</v>
      </c>
      <c r="K544" t="s">
        <v>35</v>
      </c>
      <c r="L544" t="s">
        <v>35</v>
      </c>
      <c r="O544" s="15">
        <v>8000</v>
      </c>
      <c r="P544" s="38">
        <f>583+1564+1138</f>
        <v>3285</v>
      </c>
      <c r="Q544" s="45">
        <f>P544/O544</f>
        <v>0.41062500000000002</v>
      </c>
      <c r="U544" t="s">
        <v>1152</v>
      </c>
    </row>
    <row r="545" spans="1:21" ht="14.5" x14ac:dyDescent="0.35">
      <c r="A545" t="s">
        <v>298</v>
      </c>
      <c r="B545" t="s">
        <v>17</v>
      </c>
      <c r="D545" t="s">
        <v>741</v>
      </c>
      <c r="E545" t="s">
        <v>1153</v>
      </c>
      <c r="F545" s="4">
        <v>46201</v>
      </c>
      <c r="G545" t="s">
        <v>1154</v>
      </c>
      <c r="H545" t="s">
        <v>21</v>
      </c>
      <c r="I545" t="s">
        <v>22</v>
      </c>
      <c r="J545" t="s">
        <v>35</v>
      </c>
      <c r="K545" t="s">
        <v>35</v>
      </c>
      <c r="L545" t="s">
        <v>35</v>
      </c>
      <c r="O545" s="30">
        <v>4000</v>
      </c>
      <c r="P545" s="40">
        <f>479+1628+1161</f>
        <v>3268</v>
      </c>
      <c r="Q545" s="45">
        <f>P545/O545</f>
        <v>0.81699999999999995</v>
      </c>
      <c r="R545" s="30"/>
      <c r="S545" s="30"/>
    </row>
    <row r="546" spans="1:21" ht="14.5" x14ac:dyDescent="0.35">
      <c r="A546" t="s">
        <v>181</v>
      </c>
      <c r="B546" t="s">
        <v>40</v>
      </c>
      <c r="D546" t="s">
        <v>822</v>
      </c>
      <c r="E546" t="s">
        <v>1155</v>
      </c>
      <c r="F546" s="4">
        <v>46110</v>
      </c>
      <c r="G546" t="s">
        <v>38</v>
      </c>
      <c r="I546" t="s">
        <v>22</v>
      </c>
      <c r="K546" t="s">
        <v>35</v>
      </c>
      <c r="N546">
        <v>10.5</v>
      </c>
      <c r="O546" s="15">
        <v>6000</v>
      </c>
      <c r="P546" s="38">
        <f>3010+49*4</f>
        <v>3206</v>
      </c>
      <c r="Q546" s="45">
        <f>P546/O546</f>
        <v>0.53433333333333333</v>
      </c>
    </row>
    <row r="547" spans="1:21" ht="14.5" x14ac:dyDescent="0.35">
      <c r="A547" t="s">
        <v>98</v>
      </c>
      <c r="B547" t="s">
        <v>40</v>
      </c>
      <c r="D547" t="s">
        <v>1156</v>
      </c>
      <c r="E547" t="s">
        <v>1157</v>
      </c>
      <c r="G547" t="s">
        <v>130</v>
      </c>
      <c r="I547" t="s">
        <v>22</v>
      </c>
      <c r="K547" t="s">
        <v>35</v>
      </c>
      <c r="L547" t="s">
        <v>35</v>
      </c>
      <c r="P547" s="38">
        <f>1034+2099</f>
        <v>3133</v>
      </c>
      <c r="Q547" s="45" t="e">
        <f>P547/O547</f>
        <v>#DIV/0!</v>
      </c>
    </row>
    <row r="548" spans="1:21" ht="14.5" x14ac:dyDescent="0.35">
      <c r="A548" t="s">
        <v>124</v>
      </c>
      <c r="B548" t="s">
        <v>40</v>
      </c>
      <c r="D548" t="s">
        <v>1158</v>
      </c>
      <c r="E548" t="s">
        <v>1159</v>
      </c>
      <c r="F548" s="4">
        <v>46124</v>
      </c>
      <c r="G548" t="s">
        <v>1160</v>
      </c>
      <c r="I548" t="s">
        <v>22</v>
      </c>
      <c r="K548" t="s">
        <v>35</v>
      </c>
      <c r="L548" t="s">
        <v>35</v>
      </c>
      <c r="P548" s="38">
        <f>2156+955</f>
        <v>3111</v>
      </c>
      <c r="Q548" s="45" t="e">
        <f>P548/O548</f>
        <v>#DIV/0!</v>
      </c>
    </row>
    <row r="549" spans="1:21" ht="14.5" x14ac:dyDescent="0.35">
      <c r="A549" t="s">
        <v>85</v>
      </c>
      <c r="B549" t="s">
        <v>40</v>
      </c>
      <c r="D549" t="s">
        <v>383</v>
      </c>
      <c r="E549" t="s">
        <v>1161</v>
      </c>
      <c r="F549" s="4">
        <v>46137</v>
      </c>
      <c r="G549" t="s">
        <v>385</v>
      </c>
      <c r="H549" t="s">
        <v>21</v>
      </c>
      <c r="I549" t="s">
        <v>22</v>
      </c>
      <c r="K549" t="s">
        <v>35</v>
      </c>
      <c r="P549" s="38">
        <v>3081</v>
      </c>
      <c r="Q549" s="45" t="e">
        <f>P549/O549</f>
        <v>#DIV/0!</v>
      </c>
    </row>
    <row r="550" spans="1:21" ht="14.5" x14ac:dyDescent="0.35">
      <c r="A550" t="s">
        <v>98</v>
      </c>
      <c r="B550" t="s">
        <v>40</v>
      </c>
      <c r="D550" t="s">
        <v>1162</v>
      </c>
      <c r="E550" t="s">
        <v>1163</v>
      </c>
      <c r="F550" s="4">
        <v>46082</v>
      </c>
      <c r="G550" t="s">
        <v>130</v>
      </c>
      <c r="H550" t="s">
        <v>48</v>
      </c>
      <c r="I550" t="s">
        <v>956</v>
      </c>
      <c r="J550" t="s">
        <v>35</v>
      </c>
      <c r="K550" t="s">
        <v>35</v>
      </c>
      <c r="N550" t="s">
        <v>1164</v>
      </c>
      <c r="O550" s="15">
        <v>6000</v>
      </c>
      <c r="P550" s="38">
        <f>445+747+1035+836</f>
        <v>3063</v>
      </c>
      <c r="Q550" s="45">
        <f>P550/O550</f>
        <v>0.51049999999999995</v>
      </c>
      <c r="T550">
        <v>2020</v>
      </c>
    </row>
    <row r="551" spans="1:21" ht="14.5" x14ac:dyDescent="0.35">
      <c r="A551" t="s">
        <v>779</v>
      </c>
      <c r="B551" t="s">
        <v>81</v>
      </c>
      <c r="D551" t="s">
        <v>1165</v>
      </c>
      <c r="E551" t="s">
        <v>1166</v>
      </c>
      <c r="F551" s="4">
        <v>46059</v>
      </c>
      <c r="G551" t="s">
        <v>1167</v>
      </c>
      <c r="I551" t="s">
        <v>22</v>
      </c>
      <c r="K551" t="s">
        <v>35</v>
      </c>
      <c r="L551" t="s">
        <v>35</v>
      </c>
      <c r="M551" t="s">
        <v>35</v>
      </c>
      <c r="P551" s="38">
        <f>1003+1215+838</f>
        <v>3056</v>
      </c>
      <c r="Q551" s="45" t="e">
        <f>P551/O551</f>
        <v>#DIV/0!</v>
      </c>
    </row>
    <row r="552" spans="1:21" ht="14.5" x14ac:dyDescent="0.35">
      <c r="A552" t="s">
        <v>66</v>
      </c>
      <c r="B552" t="s">
        <v>40</v>
      </c>
      <c r="D552" t="s">
        <v>2004</v>
      </c>
      <c r="E552" t="s">
        <v>2005</v>
      </c>
      <c r="F552" s="4">
        <v>46193</v>
      </c>
      <c r="G552" t="s">
        <v>2006</v>
      </c>
      <c r="H552" t="s">
        <v>48</v>
      </c>
      <c r="I552" t="s">
        <v>22</v>
      </c>
      <c r="J552" t="s">
        <v>35</v>
      </c>
      <c r="K552" t="s">
        <v>35</v>
      </c>
      <c r="L552" t="s">
        <v>35</v>
      </c>
      <c r="M552" t="s">
        <v>35</v>
      </c>
      <c r="P552" s="38">
        <f>196+1313+840+407+282</f>
        <v>3038</v>
      </c>
      <c r="Q552" s="45" t="e">
        <f>P552/O552</f>
        <v>#DIV/0!</v>
      </c>
    </row>
    <row r="553" spans="1:21" ht="14.5" x14ac:dyDescent="0.35">
      <c r="A553" t="s">
        <v>124</v>
      </c>
      <c r="B553" t="s">
        <v>40</v>
      </c>
      <c r="D553" t="s">
        <v>309</v>
      </c>
      <c r="E553" t="s">
        <v>1168</v>
      </c>
      <c r="F553" s="4">
        <v>46320</v>
      </c>
      <c r="G553" t="s">
        <v>1169</v>
      </c>
      <c r="I553" t="s">
        <v>22</v>
      </c>
      <c r="M553" t="s">
        <v>35</v>
      </c>
      <c r="N553">
        <v>15</v>
      </c>
      <c r="P553" s="38">
        <f>2396+622</f>
        <v>3018</v>
      </c>
      <c r="Q553" s="45" t="e">
        <f>P553/O553</f>
        <v>#DIV/0!</v>
      </c>
    </row>
    <row r="554" spans="1:21" ht="14.5" x14ac:dyDescent="0.35">
      <c r="A554" t="s">
        <v>1170</v>
      </c>
      <c r="B554" t="s">
        <v>201</v>
      </c>
      <c r="D554" t="s">
        <v>1171</v>
      </c>
      <c r="E554" t="s">
        <v>1172</v>
      </c>
      <c r="F554" t="s">
        <v>1173</v>
      </c>
      <c r="G554" t="s">
        <v>1174</v>
      </c>
      <c r="I554" t="s">
        <v>22</v>
      </c>
      <c r="L554" t="s">
        <v>1175</v>
      </c>
      <c r="O554" s="30">
        <v>3600</v>
      </c>
      <c r="P554" s="38">
        <f>O554-O554*0.17</f>
        <v>2988</v>
      </c>
      <c r="Q554" s="45">
        <f>P554/O554</f>
        <v>0.83</v>
      </c>
      <c r="T554" s="7"/>
    </row>
    <row r="555" spans="1:21" ht="14.5" x14ac:dyDescent="0.35">
      <c r="A555" t="s">
        <v>181</v>
      </c>
      <c r="B555" t="s">
        <v>40</v>
      </c>
      <c r="D555" t="s">
        <v>1176</v>
      </c>
      <c r="E555" t="s">
        <v>1177</v>
      </c>
      <c r="F555" s="4">
        <v>46103</v>
      </c>
      <c r="G555" t="s">
        <v>999</v>
      </c>
      <c r="H555" t="s">
        <v>48</v>
      </c>
      <c r="I555" t="s">
        <v>956</v>
      </c>
      <c r="K555" t="s">
        <v>35</v>
      </c>
      <c r="M555" t="s">
        <v>35</v>
      </c>
      <c r="N555" t="s">
        <v>1178</v>
      </c>
      <c r="O555" s="15">
        <v>3600</v>
      </c>
      <c r="P555" s="38">
        <f>O555-O555*0.17</f>
        <v>2988</v>
      </c>
      <c r="Q555" s="45">
        <f>P555/O555</f>
        <v>0.83</v>
      </c>
      <c r="U555" t="s">
        <v>1179</v>
      </c>
    </row>
    <row r="556" spans="1:21" ht="14.5" x14ac:dyDescent="0.35">
      <c r="A556" t="s">
        <v>435</v>
      </c>
      <c r="B556" t="s">
        <v>40</v>
      </c>
      <c r="D556" t="s">
        <v>436</v>
      </c>
      <c r="E556" t="s">
        <v>1180</v>
      </c>
      <c r="F556" s="4">
        <v>46200</v>
      </c>
      <c r="G556" t="s">
        <v>3</v>
      </c>
      <c r="H556" t="s">
        <v>21</v>
      </c>
      <c r="I556" t="s">
        <v>22</v>
      </c>
      <c r="K556" t="s">
        <v>35</v>
      </c>
      <c r="L556" t="s">
        <v>35</v>
      </c>
      <c r="N556" t="s">
        <v>833</v>
      </c>
      <c r="P556" s="38">
        <f>1625+357+3*146+153*2+258</f>
        <v>2984</v>
      </c>
      <c r="Q556" s="45" t="e">
        <f>P556/O556</f>
        <v>#DIV/0!</v>
      </c>
    </row>
    <row r="557" spans="1:21" ht="14.5" x14ac:dyDescent="0.35">
      <c r="A557" t="s">
        <v>1181</v>
      </c>
      <c r="B557" t="s">
        <v>40</v>
      </c>
      <c r="D557" t="s">
        <v>1182</v>
      </c>
      <c r="E557" t="s">
        <v>1183</v>
      </c>
      <c r="F557" s="4">
        <v>46306</v>
      </c>
      <c r="G557" t="s">
        <v>3</v>
      </c>
      <c r="H557" t="s">
        <v>21</v>
      </c>
      <c r="I557" t="s">
        <v>22</v>
      </c>
      <c r="J557" t="s">
        <v>35</v>
      </c>
      <c r="K557" t="s">
        <v>35</v>
      </c>
      <c r="L557" t="s">
        <v>35</v>
      </c>
      <c r="P557" s="38">
        <f>659+1337+827+147</f>
        <v>2970</v>
      </c>
      <c r="Q557" s="45" t="e">
        <f>P557/O557</f>
        <v>#DIV/0!</v>
      </c>
    </row>
    <row r="558" spans="1:21" ht="14.5" x14ac:dyDescent="0.35">
      <c r="A558" t="s">
        <v>24</v>
      </c>
      <c r="B558" t="s">
        <v>25</v>
      </c>
      <c r="D558" t="s">
        <v>1184</v>
      </c>
      <c r="E558" t="s">
        <v>1185</v>
      </c>
      <c r="F558" s="4">
        <v>46103</v>
      </c>
      <c r="G558" t="s">
        <v>757</v>
      </c>
      <c r="H558" t="s">
        <v>21</v>
      </c>
      <c r="I558" t="s">
        <v>22</v>
      </c>
      <c r="K558" t="s">
        <v>35</v>
      </c>
      <c r="L558" t="s">
        <v>35</v>
      </c>
      <c r="M558" t="s">
        <v>35</v>
      </c>
      <c r="P558" s="38">
        <f>1040+140+1759</f>
        <v>2939</v>
      </c>
      <c r="Q558" s="45" t="e">
        <f>P558/O558</f>
        <v>#DIV/0!</v>
      </c>
    </row>
    <row r="559" spans="1:21" ht="14.5" x14ac:dyDescent="0.35">
      <c r="A559" t="s">
        <v>16</v>
      </c>
      <c r="B559" t="s">
        <v>17</v>
      </c>
      <c r="D559" t="s">
        <v>18</v>
      </c>
      <c r="E559" t="s">
        <v>2224</v>
      </c>
      <c r="F559" s="4">
        <v>46145</v>
      </c>
      <c r="G559" t="s">
        <v>2225</v>
      </c>
      <c r="I559" t="s">
        <v>22</v>
      </c>
      <c r="K559">
        <v>1348</v>
      </c>
      <c r="L559">
        <v>1093</v>
      </c>
      <c r="M559">
        <v>493</v>
      </c>
      <c r="P559" s="38">
        <f>SUM(K559:M559)</f>
        <v>2934</v>
      </c>
      <c r="Q559" s="45" t="e">
        <f>P559/O559</f>
        <v>#DIV/0!</v>
      </c>
    </row>
    <row r="560" spans="1:21" ht="14.5" x14ac:dyDescent="0.35">
      <c r="A560" t="s">
        <v>98</v>
      </c>
      <c r="B560" t="s">
        <v>40</v>
      </c>
      <c r="D560" t="s">
        <v>734</v>
      </c>
      <c r="E560" t="s">
        <v>1186</v>
      </c>
      <c r="F560" s="4">
        <v>46145</v>
      </c>
      <c r="G560" t="s">
        <v>38</v>
      </c>
      <c r="H560" t="s">
        <v>21</v>
      </c>
      <c r="I560" t="s">
        <v>22</v>
      </c>
      <c r="J560" t="s">
        <v>35</v>
      </c>
      <c r="O560" s="15">
        <v>4000</v>
      </c>
      <c r="P560" s="38">
        <f>406+1240+397+879</f>
        <v>2922</v>
      </c>
      <c r="Q560" s="45">
        <f>P560/O560</f>
        <v>0.73050000000000004</v>
      </c>
      <c r="T560">
        <v>1999</v>
      </c>
      <c r="U560" t="s">
        <v>1187</v>
      </c>
    </row>
    <row r="561" spans="1:21" ht="14.5" x14ac:dyDescent="0.35">
      <c r="A561" t="s">
        <v>491</v>
      </c>
      <c r="B561" t="s">
        <v>40</v>
      </c>
      <c r="D561" t="s">
        <v>1188</v>
      </c>
      <c r="E561" t="s">
        <v>1189</v>
      </c>
      <c r="F561" s="4">
        <v>46165</v>
      </c>
      <c r="G561" t="s">
        <v>1190</v>
      </c>
      <c r="H561" t="s">
        <v>21</v>
      </c>
      <c r="I561" t="s">
        <v>956</v>
      </c>
      <c r="N561" t="s">
        <v>1191</v>
      </c>
      <c r="P561" s="38">
        <f>29+70+142+402+329+465+668+569+16+226</f>
        <v>2916</v>
      </c>
      <c r="Q561" s="45" t="e">
        <f>P561/O561</f>
        <v>#DIV/0!</v>
      </c>
    </row>
    <row r="562" spans="1:21" ht="14.5" x14ac:dyDescent="0.35">
      <c r="A562" t="s">
        <v>72</v>
      </c>
      <c r="B562" t="s">
        <v>40</v>
      </c>
      <c r="D562" t="s">
        <v>1192</v>
      </c>
      <c r="E562" t="s">
        <v>1193</v>
      </c>
      <c r="F562" s="4">
        <v>46103</v>
      </c>
      <c r="G562" t="s">
        <v>130</v>
      </c>
      <c r="I562" t="s">
        <v>488</v>
      </c>
      <c r="N562" t="s">
        <v>1194</v>
      </c>
      <c r="O562" s="15">
        <v>3500</v>
      </c>
      <c r="P562" s="38">
        <f>O562-O562*0.17</f>
        <v>2905</v>
      </c>
      <c r="Q562" s="45">
        <f>P562/O562</f>
        <v>0.83</v>
      </c>
    </row>
    <row r="563" spans="1:21" ht="14.5" x14ac:dyDescent="0.35">
      <c r="A563" t="s">
        <v>24</v>
      </c>
      <c r="B563" t="s">
        <v>25</v>
      </c>
      <c r="D563" s="16" t="s">
        <v>1198</v>
      </c>
      <c r="E563" s="16" t="s">
        <v>1199</v>
      </c>
      <c r="F563" s="17">
        <v>46082</v>
      </c>
      <c r="G563" s="28" t="s">
        <v>1200</v>
      </c>
      <c r="I563" t="s">
        <v>22</v>
      </c>
      <c r="J563" t="s">
        <v>35</v>
      </c>
      <c r="K563" t="s">
        <v>35</v>
      </c>
      <c r="L563" t="s">
        <v>35</v>
      </c>
      <c r="M563" t="s">
        <v>35</v>
      </c>
      <c r="N563">
        <v>3</v>
      </c>
      <c r="O563" s="15">
        <v>3500</v>
      </c>
      <c r="P563" s="38">
        <f>O563-O563*0.17</f>
        <v>2905</v>
      </c>
      <c r="Q563" s="45">
        <f>P563/O563</f>
        <v>0.83</v>
      </c>
    </row>
    <row r="564" spans="1:21" ht="14.5" x14ac:dyDescent="0.35">
      <c r="A564" t="s">
        <v>98</v>
      </c>
      <c r="B564" t="s">
        <v>40</v>
      </c>
      <c r="D564" t="s">
        <v>734</v>
      </c>
      <c r="E564" t="s">
        <v>1195</v>
      </c>
      <c r="F564" s="4">
        <v>46096</v>
      </c>
      <c r="G564" t="s">
        <v>1196</v>
      </c>
      <c r="I564" t="s">
        <v>22</v>
      </c>
      <c r="N564" t="s">
        <v>1197</v>
      </c>
      <c r="O564" s="15">
        <v>3500</v>
      </c>
      <c r="P564" s="38">
        <f>O564-O564*0.17</f>
        <v>2905</v>
      </c>
      <c r="Q564" s="45">
        <f>P564/O564</f>
        <v>0.83</v>
      </c>
    </row>
    <row r="565" spans="1:21" ht="14.5" x14ac:dyDescent="0.35">
      <c r="A565" s="34" t="s">
        <v>44</v>
      </c>
      <c r="B565" s="34" t="s">
        <v>40</v>
      </c>
      <c r="C565" s="34" t="s">
        <v>2334</v>
      </c>
      <c r="D565" s="34" t="s">
        <v>1869</v>
      </c>
      <c r="E565" s="34" t="s">
        <v>1870</v>
      </c>
      <c r="F565" s="35">
        <v>46110</v>
      </c>
      <c r="G565" s="34" t="s">
        <v>1871</v>
      </c>
      <c r="H565" s="34" t="s">
        <v>1775</v>
      </c>
      <c r="I565" s="34" t="s">
        <v>22</v>
      </c>
      <c r="J565" s="38"/>
      <c r="K565" s="38"/>
      <c r="L565" s="38" t="s">
        <v>333</v>
      </c>
      <c r="M565" s="38" t="s">
        <v>333</v>
      </c>
      <c r="N565" s="34"/>
      <c r="O565" s="38">
        <v>9000</v>
      </c>
      <c r="P565" s="38">
        <f>1742+856+146*2</f>
        <v>2890</v>
      </c>
      <c r="Q565" s="45">
        <f>P565/O565</f>
        <v>0.32111111111111112</v>
      </c>
      <c r="R565" s="38"/>
      <c r="S565" s="39"/>
      <c r="T565" s="34"/>
      <c r="U565" s="34"/>
    </row>
    <row r="566" spans="1:21" ht="14.5" x14ac:dyDescent="0.35">
      <c r="A566" t="s">
        <v>298</v>
      </c>
      <c r="B566" t="s">
        <v>17</v>
      </c>
      <c r="D566" t="s">
        <v>957</v>
      </c>
      <c r="E566" t="s">
        <v>300</v>
      </c>
      <c r="F566" s="4">
        <v>46068</v>
      </c>
      <c r="G566" t="s">
        <v>301</v>
      </c>
      <c r="H566" t="s">
        <v>21</v>
      </c>
      <c r="I566" t="s">
        <v>302</v>
      </c>
      <c r="N566" t="s">
        <v>303</v>
      </c>
      <c r="P566" s="38">
        <v>2843</v>
      </c>
      <c r="Q566" s="45" t="e">
        <f>P566/O566</f>
        <v>#DIV/0!</v>
      </c>
    </row>
    <row r="567" spans="1:21" ht="14.5" x14ac:dyDescent="0.35">
      <c r="A567" t="s">
        <v>85</v>
      </c>
      <c r="B567" t="s">
        <v>40</v>
      </c>
      <c r="D567" t="s">
        <v>383</v>
      </c>
      <c r="E567" t="s">
        <v>1201</v>
      </c>
      <c r="F567" s="4">
        <v>46109</v>
      </c>
      <c r="G567" t="s">
        <v>385</v>
      </c>
      <c r="H567" t="s">
        <v>21</v>
      </c>
      <c r="I567" t="s">
        <v>22</v>
      </c>
      <c r="L567" t="s">
        <v>35</v>
      </c>
      <c r="P567" s="38">
        <v>2831</v>
      </c>
      <c r="Q567" s="45" t="e">
        <f>P567/O567</f>
        <v>#DIV/0!</v>
      </c>
    </row>
    <row r="568" spans="1:21" ht="14.5" x14ac:dyDescent="0.35">
      <c r="A568" t="s">
        <v>24</v>
      </c>
      <c r="B568" t="s">
        <v>25</v>
      </c>
      <c r="D568" s="16" t="s">
        <v>26</v>
      </c>
      <c r="E568" s="16" t="s">
        <v>1202</v>
      </c>
      <c r="F568" s="17">
        <v>45787</v>
      </c>
      <c r="G568" s="28" t="s">
        <v>1203</v>
      </c>
      <c r="I568" t="s">
        <v>22</v>
      </c>
      <c r="L568" t="s">
        <v>35</v>
      </c>
      <c r="O568" s="15">
        <v>3400</v>
      </c>
      <c r="P568" s="38">
        <f>O568-O568*0.17</f>
        <v>2822</v>
      </c>
      <c r="Q568" s="45">
        <f>P568/O568</f>
        <v>0.83</v>
      </c>
    </row>
    <row r="569" spans="1:21" ht="14.5" x14ac:dyDescent="0.35">
      <c r="A569" t="s">
        <v>16</v>
      </c>
      <c r="B569" t="s">
        <v>17</v>
      </c>
      <c r="D569" t="s">
        <v>1204</v>
      </c>
      <c r="E569" t="s">
        <v>1205</v>
      </c>
      <c r="F569" s="4">
        <v>46215</v>
      </c>
      <c r="G569" t="s">
        <v>614</v>
      </c>
      <c r="H569" t="s">
        <v>21</v>
      </c>
      <c r="I569" t="s">
        <v>22</v>
      </c>
      <c r="J569" t="s">
        <v>35</v>
      </c>
      <c r="K569" t="s">
        <v>35</v>
      </c>
      <c r="L569" t="s">
        <v>35</v>
      </c>
      <c r="M569" t="s">
        <v>35</v>
      </c>
      <c r="P569" s="38">
        <f>411+1041+776+575</f>
        <v>2803</v>
      </c>
      <c r="Q569" s="45" t="e">
        <f>P569/O569</f>
        <v>#DIV/0!</v>
      </c>
    </row>
    <row r="570" spans="1:21" ht="14.5" x14ac:dyDescent="0.35">
      <c r="A570" t="s">
        <v>499</v>
      </c>
      <c r="B570" t="s">
        <v>201</v>
      </c>
      <c r="D570" t="s">
        <v>2107</v>
      </c>
      <c r="E570" t="s">
        <v>2112</v>
      </c>
      <c r="F570" s="4">
        <v>46068</v>
      </c>
      <c r="I570" t="s">
        <v>22</v>
      </c>
      <c r="L570" t="s">
        <v>35</v>
      </c>
      <c r="M570" t="s">
        <v>35</v>
      </c>
      <c r="P570" s="38">
        <f>1470+726+291+301</f>
        <v>2788</v>
      </c>
      <c r="Q570" s="45" t="e">
        <f>P570/O570</f>
        <v>#DIV/0!</v>
      </c>
    </row>
    <row r="571" spans="1:21" ht="14.5" x14ac:dyDescent="0.35">
      <c r="A571" t="s">
        <v>39</v>
      </c>
      <c r="B571" t="s">
        <v>40</v>
      </c>
      <c r="D571" t="s">
        <v>1206</v>
      </c>
      <c r="E571" t="s">
        <v>1207</v>
      </c>
      <c r="F571" s="4">
        <v>46173</v>
      </c>
      <c r="G571" t="s">
        <v>817</v>
      </c>
      <c r="I571" t="s">
        <v>22</v>
      </c>
      <c r="L571" t="s">
        <v>35</v>
      </c>
      <c r="P571" s="38">
        <v>2780</v>
      </c>
      <c r="Q571" s="45" t="e">
        <f>P571/O571</f>
        <v>#DIV/0!</v>
      </c>
    </row>
    <row r="572" spans="1:21" ht="14.5" x14ac:dyDescent="0.35">
      <c r="A572" s="34" t="s">
        <v>44</v>
      </c>
      <c r="B572" s="34" t="s">
        <v>40</v>
      </c>
      <c r="C572" s="34" t="s">
        <v>2327</v>
      </c>
      <c r="D572" s="34" t="s">
        <v>1894</v>
      </c>
      <c r="E572" s="34" t="s">
        <v>1895</v>
      </c>
      <c r="F572" s="35">
        <v>46124</v>
      </c>
      <c r="G572" s="34"/>
      <c r="H572" s="34" t="s">
        <v>1775</v>
      </c>
      <c r="I572" s="34" t="s">
        <v>22</v>
      </c>
      <c r="J572" s="38" t="s">
        <v>333</v>
      </c>
      <c r="K572" s="38">
        <v>3000</v>
      </c>
      <c r="L572" s="38" t="s">
        <v>333</v>
      </c>
      <c r="M572" s="38" t="s">
        <v>333</v>
      </c>
      <c r="N572" s="38" t="s">
        <v>166</v>
      </c>
      <c r="O572" s="38">
        <v>7300</v>
      </c>
      <c r="P572" s="38">
        <f>2779</f>
        <v>2779</v>
      </c>
      <c r="Q572" s="45">
        <f>P572/O572</f>
        <v>0.38068493150684929</v>
      </c>
      <c r="R572" s="38"/>
      <c r="S572" s="39"/>
      <c r="T572" s="34"/>
      <c r="U572" s="34"/>
    </row>
    <row r="573" spans="1:21" ht="14.5" x14ac:dyDescent="0.35">
      <c r="A573" t="s">
        <v>2127</v>
      </c>
      <c r="B573" t="s">
        <v>40</v>
      </c>
      <c r="D573" t="s">
        <v>2149</v>
      </c>
      <c r="E573" t="s">
        <v>2150</v>
      </c>
      <c r="F573" s="4">
        <v>46361</v>
      </c>
      <c r="G573" t="s">
        <v>2151</v>
      </c>
      <c r="I573" t="s">
        <v>22</v>
      </c>
      <c r="J573">
        <v>784</v>
      </c>
      <c r="K573">
        <v>1244</v>
      </c>
      <c r="L573">
        <v>738</v>
      </c>
      <c r="P573" s="38">
        <f>SUM(J573:L573)</f>
        <v>2766</v>
      </c>
      <c r="Q573" s="45" t="e">
        <f>P573/O573</f>
        <v>#DIV/0!</v>
      </c>
    </row>
    <row r="574" spans="1:21" ht="14.5" x14ac:dyDescent="0.35">
      <c r="A574" t="s">
        <v>98</v>
      </c>
      <c r="B574" t="s">
        <v>40</v>
      </c>
      <c r="D574" t="s">
        <v>99</v>
      </c>
      <c r="E574" t="s">
        <v>1208</v>
      </c>
      <c r="F574" s="4">
        <v>46376</v>
      </c>
      <c r="G574" t="s">
        <v>1209</v>
      </c>
      <c r="O574" s="15">
        <v>1700</v>
      </c>
      <c r="P574" s="38">
        <f>2761</f>
        <v>2761</v>
      </c>
      <c r="Q574" s="45">
        <f>P574/O574</f>
        <v>1.6241176470588234</v>
      </c>
      <c r="T574">
        <v>2024</v>
      </c>
    </row>
    <row r="575" spans="1:21" ht="14.5" x14ac:dyDescent="0.35">
      <c r="A575" t="s">
        <v>98</v>
      </c>
      <c r="B575" t="s">
        <v>40</v>
      </c>
      <c r="E575" t="s">
        <v>1210</v>
      </c>
      <c r="G575" t="s">
        <v>1049</v>
      </c>
      <c r="H575" t="s">
        <v>21</v>
      </c>
      <c r="I575" t="s">
        <v>956</v>
      </c>
      <c r="K575">
        <v>10</v>
      </c>
      <c r="N575" t="s">
        <v>1211</v>
      </c>
      <c r="O575" s="15">
        <v>3300</v>
      </c>
      <c r="P575" s="38">
        <f>O575-O575*0.17</f>
        <v>2739</v>
      </c>
      <c r="Q575" s="45">
        <f>P575/O575</f>
        <v>0.83</v>
      </c>
      <c r="T575">
        <v>2017</v>
      </c>
      <c r="U575" t="s">
        <v>1051</v>
      </c>
    </row>
    <row r="576" spans="1:21" ht="14.5" x14ac:dyDescent="0.35">
      <c r="A576" t="s">
        <v>72</v>
      </c>
      <c r="B576" t="s">
        <v>40</v>
      </c>
      <c r="D576" t="s">
        <v>73</v>
      </c>
      <c r="E576" t="s">
        <v>1212</v>
      </c>
      <c r="F576" s="4">
        <v>46158</v>
      </c>
      <c r="G576" t="s">
        <v>1213</v>
      </c>
      <c r="H576" t="s">
        <v>21</v>
      </c>
      <c r="I576" t="s">
        <v>22</v>
      </c>
      <c r="K576" t="s">
        <v>35</v>
      </c>
      <c r="L576" t="s">
        <v>35</v>
      </c>
      <c r="M576" t="s">
        <v>35</v>
      </c>
      <c r="O576" s="15">
        <v>4500</v>
      </c>
      <c r="P576" s="38">
        <f>651+924+201+923</f>
        <v>2699</v>
      </c>
      <c r="Q576" s="45">
        <f>P576/O576</f>
        <v>0.59977777777777774</v>
      </c>
    </row>
    <row r="577" spans="1:21" ht="14.5" x14ac:dyDescent="0.35">
      <c r="A577" t="s">
        <v>94</v>
      </c>
      <c r="B577" t="s">
        <v>50</v>
      </c>
      <c r="D577" t="s">
        <v>1214</v>
      </c>
      <c r="E577" t="s">
        <v>1215</v>
      </c>
      <c r="F577" s="4">
        <v>46313</v>
      </c>
      <c r="G577" t="s">
        <v>1216</v>
      </c>
      <c r="H577" t="s">
        <v>21</v>
      </c>
      <c r="I577" t="s">
        <v>22</v>
      </c>
      <c r="K577" t="s">
        <v>35</v>
      </c>
      <c r="L577" t="s">
        <v>35</v>
      </c>
      <c r="M577" t="s">
        <v>35</v>
      </c>
      <c r="O577" s="30">
        <v>50000</v>
      </c>
      <c r="P577" s="40">
        <f>826+1869</f>
        <v>2695</v>
      </c>
      <c r="Q577" s="45">
        <f>P577/O577</f>
        <v>5.3900000000000003E-2</v>
      </c>
      <c r="R577" s="30"/>
      <c r="S577" s="30"/>
    </row>
    <row r="578" spans="1:21" ht="14.5" x14ac:dyDescent="0.35">
      <c r="A578" t="s">
        <v>24</v>
      </c>
      <c r="B578" t="s">
        <v>25</v>
      </c>
      <c r="D578" t="s">
        <v>141</v>
      </c>
      <c r="E578" s="16" t="s">
        <v>1217</v>
      </c>
      <c r="F578" s="17">
        <v>45997</v>
      </c>
      <c r="G578" s="28" t="s">
        <v>38</v>
      </c>
      <c r="I578" t="s">
        <v>22</v>
      </c>
      <c r="J578">
        <v>79</v>
      </c>
      <c r="K578">
        <v>558</v>
      </c>
      <c r="L578">
        <v>1304</v>
      </c>
      <c r="M578">
        <v>641</v>
      </c>
      <c r="P578" s="38">
        <f>SUM(J578:M578)+77</f>
        <v>2659</v>
      </c>
      <c r="Q578" s="45" t="e">
        <f>P578/O578</f>
        <v>#DIV/0!</v>
      </c>
    </row>
    <row r="579" spans="1:21" ht="14.5" x14ac:dyDescent="0.35">
      <c r="A579" t="s">
        <v>124</v>
      </c>
      <c r="B579" t="s">
        <v>40</v>
      </c>
      <c r="D579" t="s">
        <v>1218</v>
      </c>
      <c r="E579" t="s">
        <v>1219</v>
      </c>
      <c r="F579" s="4">
        <v>46090</v>
      </c>
      <c r="G579" t="s">
        <v>1220</v>
      </c>
      <c r="H579" t="s">
        <v>48</v>
      </c>
      <c r="I579" t="s">
        <v>956</v>
      </c>
      <c r="N579" t="s">
        <v>1221</v>
      </c>
      <c r="O579" s="15">
        <v>3200</v>
      </c>
      <c r="P579" s="38">
        <f>O579-O579*0.17</f>
        <v>2656</v>
      </c>
      <c r="Q579" s="45">
        <f>P579/O579</f>
        <v>0.83</v>
      </c>
      <c r="U579" t="s">
        <v>1222</v>
      </c>
    </row>
    <row r="580" spans="1:21" ht="14.5" x14ac:dyDescent="0.35">
      <c r="A580" t="s">
        <v>181</v>
      </c>
      <c r="B580" t="s">
        <v>40</v>
      </c>
      <c r="D580" t="s">
        <v>1223</v>
      </c>
      <c r="E580" t="s">
        <v>1224</v>
      </c>
      <c r="F580" s="4">
        <v>46376</v>
      </c>
      <c r="G580" t="s">
        <v>1225</v>
      </c>
      <c r="I580" t="s">
        <v>22</v>
      </c>
      <c r="J580" t="s">
        <v>35</v>
      </c>
      <c r="K580" t="s">
        <v>35</v>
      </c>
      <c r="O580" s="15">
        <v>5000</v>
      </c>
      <c r="P580" s="38">
        <f>985+1243+427</f>
        <v>2655</v>
      </c>
      <c r="Q580" s="45">
        <f>P580/O580</f>
        <v>0.53100000000000003</v>
      </c>
    </row>
    <row r="581" spans="1:21" ht="14.5" x14ac:dyDescent="0.35">
      <c r="A581" t="s">
        <v>1181</v>
      </c>
      <c r="B581" t="s">
        <v>40</v>
      </c>
      <c r="D581" t="s">
        <v>1226</v>
      </c>
      <c r="E581" t="s">
        <v>1227</v>
      </c>
      <c r="F581" s="4">
        <v>46068</v>
      </c>
      <c r="G581" t="s">
        <v>1228</v>
      </c>
      <c r="H581" t="s">
        <v>21</v>
      </c>
      <c r="I581" t="s">
        <v>22</v>
      </c>
      <c r="J581" t="s">
        <v>35</v>
      </c>
      <c r="K581" t="s">
        <v>35</v>
      </c>
      <c r="L581" t="s">
        <v>35</v>
      </c>
      <c r="O581" s="15">
        <v>3500</v>
      </c>
      <c r="P581" s="38">
        <f>303+304+474+159+922+483</f>
        <v>2645</v>
      </c>
      <c r="Q581" s="45">
        <f>P581/O581</f>
        <v>0.75571428571428567</v>
      </c>
    </row>
    <row r="582" spans="1:21" ht="14.5" x14ac:dyDescent="0.35">
      <c r="A582" t="s">
        <v>124</v>
      </c>
      <c r="B582" t="s">
        <v>40</v>
      </c>
      <c r="D582" t="s">
        <v>872</v>
      </c>
      <c r="E582" t="s">
        <v>1229</v>
      </c>
      <c r="F582" s="4">
        <v>46096</v>
      </c>
      <c r="G582" t="s">
        <v>1230</v>
      </c>
      <c r="H582" t="s">
        <v>48</v>
      </c>
      <c r="I582" t="s">
        <v>22</v>
      </c>
      <c r="K582" t="s">
        <v>35</v>
      </c>
      <c r="M582" t="s">
        <v>35</v>
      </c>
      <c r="P582" s="38">
        <f>2640</f>
        <v>2640</v>
      </c>
      <c r="Q582" s="45" t="e">
        <f>P582/O582</f>
        <v>#DIV/0!</v>
      </c>
    </row>
    <row r="583" spans="1:21" ht="14.5" x14ac:dyDescent="0.35">
      <c r="A583" t="s">
        <v>66</v>
      </c>
      <c r="B583" t="s">
        <v>40</v>
      </c>
      <c r="D583" t="s">
        <v>1231</v>
      </c>
      <c r="E583" t="s">
        <v>1232</v>
      </c>
      <c r="F583" s="4">
        <v>46299</v>
      </c>
      <c r="G583" t="s">
        <v>1232</v>
      </c>
      <c r="H583" t="s">
        <v>21</v>
      </c>
      <c r="I583" t="s">
        <v>22</v>
      </c>
      <c r="P583" s="38">
        <f>46+263+464+889+433+517</f>
        <v>2612</v>
      </c>
      <c r="Q583" s="45" t="e">
        <f>P583/O583</f>
        <v>#DIV/0!</v>
      </c>
      <c r="U583" t="s">
        <v>1233</v>
      </c>
    </row>
    <row r="584" spans="1:21" ht="14.5" x14ac:dyDescent="0.35">
      <c r="A584" t="s">
        <v>1234</v>
      </c>
      <c r="B584" t="s">
        <v>40</v>
      </c>
      <c r="D584" t="s">
        <v>1235</v>
      </c>
      <c r="E584" t="s">
        <v>1236</v>
      </c>
      <c r="F584" s="4">
        <v>46208</v>
      </c>
      <c r="G584" t="s">
        <v>1237</v>
      </c>
      <c r="H584" t="s">
        <v>21</v>
      </c>
      <c r="I584" t="s">
        <v>895</v>
      </c>
      <c r="P584" s="38">
        <f>2549+46</f>
        <v>2595</v>
      </c>
      <c r="Q584" s="45" t="e">
        <f>P584/O584</f>
        <v>#DIV/0!</v>
      </c>
    </row>
    <row r="585" spans="1:21" ht="14.5" x14ac:dyDescent="0.35">
      <c r="A585" t="s">
        <v>39</v>
      </c>
      <c r="B585" t="s">
        <v>40</v>
      </c>
      <c r="D585" t="s">
        <v>2016</v>
      </c>
      <c r="E585" t="s">
        <v>2017</v>
      </c>
      <c r="F585" s="4">
        <v>46095</v>
      </c>
      <c r="G585" t="s">
        <v>43</v>
      </c>
      <c r="H585" t="s">
        <v>21</v>
      </c>
      <c r="I585" t="s">
        <v>22</v>
      </c>
      <c r="K585" t="s">
        <v>35</v>
      </c>
      <c r="M585" t="s">
        <v>35</v>
      </c>
      <c r="P585" s="38">
        <f>2564</f>
        <v>2564</v>
      </c>
      <c r="Q585" s="45" t="e">
        <f>P585/O585</f>
        <v>#DIV/0!</v>
      </c>
    </row>
    <row r="586" spans="1:21" ht="14.5" x14ac:dyDescent="0.35">
      <c r="A586" t="s">
        <v>98</v>
      </c>
      <c r="B586" t="s">
        <v>40</v>
      </c>
      <c r="D586" t="s">
        <v>1238</v>
      </c>
      <c r="E586" t="s">
        <v>1239</v>
      </c>
      <c r="F586" s="4">
        <v>46145</v>
      </c>
      <c r="G586" t="s">
        <v>130</v>
      </c>
      <c r="I586" t="s">
        <v>302</v>
      </c>
      <c r="J586" t="s">
        <v>35</v>
      </c>
      <c r="N586" t="s">
        <v>1240</v>
      </c>
      <c r="O586" s="15">
        <v>6000</v>
      </c>
      <c r="P586" s="38">
        <f>519+923+1116</f>
        <v>2558</v>
      </c>
      <c r="Q586" s="45">
        <f>P586/O586</f>
        <v>0.42633333333333334</v>
      </c>
      <c r="T586">
        <v>2018</v>
      </c>
    </row>
    <row r="587" spans="1:21" ht="14.5" x14ac:dyDescent="0.35">
      <c r="A587" t="s">
        <v>124</v>
      </c>
      <c r="B587" t="s">
        <v>40</v>
      </c>
      <c r="D587" t="s">
        <v>219</v>
      </c>
      <c r="E587" t="s">
        <v>1241</v>
      </c>
      <c r="F587" s="4">
        <v>46123</v>
      </c>
      <c r="G587" t="s">
        <v>1242</v>
      </c>
      <c r="I587" t="s">
        <v>22</v>
      </c>
      <c r="P587" s="38">
        <f>754+1801</f>
        <v>2555</v>
      </c>
      <c r="Q587" s="45" t="e">
        <f>P587/O587</f>
        <v>#DIV/0!</v>
      </c>
    </row>
    <row r="588" spans="1:21" ht="14.5" x14ac:dyDescent="0.35">
      <c r="A588" t="s">
        <v>85</v>
      </c>
      <c r="B588" t="s">
        <v>40</v>
      </c>
      <c r="D588" t="s">
        <v>2117</v>
      </c>
      <c r="E588" t="s">
        <v>2118</v>
      </c>
      <c r="F588" s="4">
        <v>46263</v>
      </c>
      <c r="G588" t="s">
        <v>2118</v>
      </c>
      <c r="I588" t="s">
        <v>22</v>
      </c>
      <c r="J588">
        <f>427+174</f>
        <v>601</v>
      </c>
      <c r="K588">
        <f>1178+767</f>
        <v>1945</v>
      </c>
      <c r="P588" s="38">
        <f>SUM(J588:K588)</f>
        <v>2546</v>
      </c>
      <c r="Q588" s="45" t="e">
        <f>P588/O588</f>
        <v>#DIV/0!</v>
      </c>
    </row>
    <row r="589" spans="1:21" ht="14.5" x14ac:dyDescent="0.35">
      <c r="A589" t="s">
        <v>110</v>
      </c>
      <c r="B589" t="s">
        <v>31</v>
      </c>
      <c r="D589" t="s">
        <v>1243</v>
      </c>
      <c r="E589" t="s">
        <v>1244</v>
      </c>
      <c r="F589" s="4">
        <v>46243</v>
      </c>
      <c r="G589" t="s">
        <v>1245</v>
      </c>
      <c r="I589" t="s">
        <v>22</v>
      </c>
      <c r="K589" t="s">
        <v>35</v>
      </c>
      <c r="L589" t="s">
        <v>35</v>
      </c>
      <c r="M589" t="s">
        <v>35</v>
      </c>
      <c r="P589" s="38">
        <f>1238+750+518</f>
        <v>2506</v>
      </c>
      <c r="Q589" s="45" t="e">
        <f>P589/O589</f>
        <v>#DIV/0!</v>
      </c>
    </row>
    <row r="590" spans="1:21" ht="14.5" x14ac:dyDescent="0.35">
      <c r="A590" t="s">
        <v>66</v>
      </c>
      <c r="B590" t="s">
        <v>40</v>
      </c>
      <c r="D590" t="s">
        <v>516</v>
      </c>
      <c r="E590" t="s">
        <v>1966</v>
      </c>
      <c r="F590" s="4">
        <v>46278</v>
      </c>
      <c r="G590" t="s">
        <v>38</v>
      </c>
      <c r="I590" t="s">
        <v>718</v>
      </c>
      <c r="L590" t="s">
        <v>35</v>
      </c>
      <c r="M590" t="s">
        <v>35</v>
      </c>
      <c r="N590" t="s">
        <v>1967</v>
      </c>
      <c r="P590" s="38">
        <f>1336+796+239+134</f>
        <v>2505</v>
      </c>
      <c r="Q590" s="45" t="e">
        <f>P590/O590</f>
        <v>#DIV/0!</v>
      </c>
    </row>
    <row r="591" spans="1:21" ht="14.5" x14ac:dyDescent="0.35">
      <c r="A591" t="s">
        <v>63</v>
      </c>
      <c r="B591" t="s">
        <v>40</v>
      </c>
      <c r="D591" t="s">
        <v>1248</v>
      </c>
      <c r="E591" t="s">
        <v>1249</v>
      </c>
      <c r="F591" s="4">
        <v>46173</v>
      </c>
      <c r="G591" t="s">
        <v>38</v>
      </c>
      <c r="H591" t="s">
        <v>21</v>
      </c>
      <c r="I591" t="s">
        <v>956</v>
      </c>
      <c r="N591" t="s">
        <v>1250</v>
      </c>
      <c r="O591" s="15">
        <v>3000</v>
      </c>
      <c r="P591" s="38">
        <f>O591-O591*0.17</f>
        <v>2490</v>
      </c>
      <c r="Q591" s="45">
        <f>P591/O591</f>
        <v>0.83</v>
      </c>
      <c r="U591" t="s">
        <v>1249</v>
      </c>
    </row>
    <row r="592" spans="1:21" ht="14.5" x14ac:dyDescent="0.35">
      <c r="A592" t="s">
        <v>98</v>
      </c>
      <c r="B592" t="s">
        <v>40</v>
      </c>
      <c r="D592" t="s">
        <v>99</v>
      </c>
      <c r="E592" t="s">
        <v>1246</v>
      </c>
      <c r="F592" s="4">
        <v>46201</v>
      </c>
      <c r="G592" t="s">
        <v>130</v>
      </c>
      <c r="I592" t="s">
        <v>488</v>
      </c>
      <c r="N592" t="s">
        <v>1247</v>
      </c>
      <c r="O592" s="15">
        <v>3000</v>
      </c>
      <c r="P592" s="38">
        <f>O592-O592*0.17</f>
        <v>2490</v>
      </c>
      <c r="Q592" s="45">
        <f>P592/O592</f>
        <v>0.83</v>
      </c>
      <c r="U592" t="s">
        <v>489</v>
      </c>
    </row>
    <row r="593" spans="1:21" ht="14.5" x14ac:dyDescent="0.35">
      <c r="A593" t="s">
        <v>24</v>
      </c>
      <c r="B593" t="s">
        <v>25</v>
      </c>
      <c r="D593" s="16" t="s">
        <v>1258</v>
      </c>
      <c r="E593" s="16" t="s">
        <v>1259</v>
      </c>
      <c r="F593" s="17">
        <v>45977</v>
      </c>
      <c r="G593" s="28" t="s">
        <v>597</v>
      </c>
      <c r="I593" t="s">
        <v>22</v>
      </c>
      <c r="K593" t="s">
        <v>35</v>
      </c>
      <c r="L593" t="s">
        <v>35</v>
      </c>
      <c r="M593" t="s">
        <v>35</v>
      </c>
      <c r="O593" s="15">
        <v>3000</v>
      </c>
      <c r="P593" s="38">
        <f>O593-O593*0.17</f>
        <v>2490</v>
      </c>
      <c r="Q593" s="45">
        <f>P593/O593</f>
        <v>0.83</v>
      </c>
    </row>
    <row r="594" spans="1:21" ht="14.5" x14ac:dyDescent="0.35">
      <c r="A594" t="s">
        <v>30</v>
      </c>
      <c r="B594" t="s">
        <v>31</v>
      </c>
      <c r="D594" t="s">
        <v>1256</v>
      </c>
      <c r="E594" t="s">
        <v>1257</v>
      </c>
      <c r="F594" s="4">
        <v>46337</v>
      </c>
      <c r="G594" t="s">
        <v>113</v>
      </c>
      <c r="I594" t="s">
        <v>22</v>
      </c>
      <c r="K594" t="s">
        <v>35</v>
      </c>
      <c r="M594" t="s">
        <v>35</v>
      </c>
      <c r="O594" s="15">
        <v>3000</v>
      </c>
      <c r="P594" s="38">
        <f>O594-O594*0.17</f>
        <v>2490</v>
      </c>
      <c r="Q594" s="45">
        <f>P594/O594</f>
        <v>0.83</v>
      </c>
    </row>
    <row r="595" spans="1:21" ht="14.5" x14ac:dyDescent="0.35">
      <c r="A595" t="s">
        <v>124</v>
      </c>
      <c r="B595" t="s">
        <v>40</v>
      </c>
      <c r="D595" t="s">
        <v>219</v>
      </c>
      <c r="E595" t="s">
        <v>1254</v>
      </c>
      <c r="F595" s="4">
        <v>46300</v>
      </c>
      <c r="G595" t="s">
        <v>1255</v>
      </c>
      <c r="H595" t="s">
        <v>48</v>
      </c>
      <c r="I595" t="s">
        <v>956</v>
      </c>
      <c r="N595">
        <v>100</v>
      </c>
      <c r="O595" s="15">
        <v>3000</v>
      </c>
      <c r="P595" s="38">
        <f>O595-O595*0.17</f>
        <v>2490</v>
      </c>
      <c r="Q595" s="45">
        <f>P595/O595</f>
        <v>0.83</v>
      </c>
    </row>
    <row r="596" spans="1:21" ht="14.5" x14ac:dyDescent="0.35">
      <c r="A596" t="s">
        <v>98</v>
      </c>
      <c r="B596" t="s">
        <v>40</v>
      </c>
      <c r="D596" t="s">
        <v>1251</v>
      </c>
      <c r="E596" t="s">
        <v>1252</v>
      </c>
      <c r="G596" t="s">
        <v>1253</v>
      </c>
      <c r="I596" t="s">
        <v>22</v>
      </c>
      <c r="K596" t="s">
        <v>35</v>
      </c>
      <c r="N596" t="s">
        <v>1164</v>
      </c>
      <c r="O596" s="15">
        <v>3000</v>
      </c>
      <c r="P596" s="38">
        <f>O596-O596*0.17</f>
        <v>2490</v>
      </c>
      <c r="Q596" s="45">
        <f>P596/O596</f>
        <v>0.83</v>
      </c>
      <c r="T596">
        <v>2014</v>
      </c>
    </row>
    <row r="597" spans="1:21" ht="14.5" x14ac:dyDescent="0.35">
      <c r="A597" t="s">
        <v>24</v>
      </c>
      <c r="B597" t="s">
        <v>25</v>
      </c>
      <c r="D597" s="16" t="s">
        <v>1260</v>
      </c>
      <c r="E597" s="16" t="s">
        <v>1261</v>
      </c>
      <c r="F597" s="17">
        <v>46348</v>
      </c>
      <c r="G597" s="28" t="s">
        <v>697</v>
      </c>
      <c r="I597" t="s">
        <v>22</v>
      </c>
      <c r="J597" t="s">
        <v>35</v>
      </c>
      <c r="K597" t="s">
        <v>35</v>
      </c>
      <c r="L597" t="s">
        <v>35</v>
      </c>
      <c r="M597" t="s">
        <v>35</v>
      </c>
      <c r="O597" s="15">
        <v>3000</v>
      </c>
      <c r="P597" s="38">
        <f>O597-O597*0.17</f>
        <v>2490</v>
      </c>
      <c r="Q597" s="45">
        <f>P597/O597</f>
        <v>0.83</v>
      </c>
    </row>
    <row r="598" spans="1:21" ht="14.5" x14ac:dyDescent="0.35">
      <c r="A598" t="s">
        <v>527</v>
      </c>
      <c r="B598" t="s">
        <v>40</v>
      </c>
      <c r="D598" t="s">
        <v>528</v>
      </c>
      <c r="E598" t="s">
        <v>1262</v>
      </c>
      <c r="F598" s="4">
        <v>46270</v>
      </c>
      <c r="G598" t="s">
        <v>530</v>
      </c>
      <c r="I598" t="s">
        <v>22</v>
      </c>
      <c r="M598" t="s">
        <v>35</v>
      </c>
      <c r="P598" s="38">
        <v>2451</v>
      </c>
      <c r="Q598" s="45" t="e">
        <f>P598/O598</f>
        <v>#DIV/0!</v>
      </c>
    </row>
    <row r="599" spans="1:21" ht="14.5" x14ac:dyDescent="0.35">
      <c r="A599" t="s">
        <v>181</v>
      </c>
      <c r="B599" t="s">
        <v>40</v>
      </c>
      <c r="D599" t="s">
        <v>912</v>
      </c>
      <c r="E599" t="s">
        <v>1263</v>
      </c>
      <c r="F599" s="4">
        <v>46131</v>
      </c>
      <c r="G599" t="s">
        <v>1264</v>
      </c>
      <c r="H599" t="s">
        <v>21</v>
      </c>
      <c r="I599" t="s">
        <v>22</v>
      </c>
      <c r="K599" t="s">
        <v>35</v>
      </c>
      <c r="L599" t="s">
        <v>35</v>
      </c>
      <c r="P599" s="38">
        <f>636+1786</f>
        <v>2422</v>
      </c>
      <c r="Q599" s="45" t="e">
        <f>P599/O599</f>
        <v>#DIV/0!</v>
      </c>
    </row>
    <row r="600" spans="1:21" ht="14.5" x14ac:dyDescent="0.35">
      <c r="A600" t="s">
        <v>72</v>
      </c>
      <c r="B600" t="s">
        <v>40</v>
      </c>
      <c r="D600" t="s">
        <v>632</v>
      </c>
      <c r="E600" t="s">
        <v>1265</v>
      </c>
      <c r="F600" s="4">
        <v>46118</v>
      </c>
      <c r="I600" t="s">
        <v>488</v>
      </c>
      <c r="O600" s="15">
        <v>2900</v>
      </c>
      <c r="P600" s="38">
        <f>O600-O600*0.17</f>
        <v>2407</v>
      </c>
      <c r="Q600" s="45">
        <f>P600/O600</f>
        <v>0.83</v>
      </c>
    </row>
    <row r="601" spans="1:21" ht="14.5" x14ac:dyDescent="0.35">
      <c r="A601" t="s">
        <v>2012</v>
      </c>
      <c r="B601" t="s">
        <v>50</v>
      </c>
      <c r="D601" t="s">
        <v>2012</v>
      </c>
      <c r="E601" t="s">
        <v>2013</v>
      </c>
      <c r="F601" s="4">
        <v>46294</v>
      </c>
      <c r="G601" t="s">
        <v>38</v>
      </c>
      <c r="I601" t="s">
        <v>22</v>
      </c>
      <c r="J601" t="s">
        <v>35</v>
      </c>
      <c r="K601" t="s">
        <v>35</v>
      </c>
      <c r="L601" t="s">
        <v>35</v>
      </c>
      <c r="M601" t="s">
        <v>35</v>
      </c>
      <c r="P601" s="38">
        <f>448+111+1167+660</f>
        <v>2386</v>
      </c>
      <c r="Q601" s="45" t="e">
        <f>P601/O601</f>
        <v>#DIV/0!</v>
      </c>
    </row>
    <row r="602" spans="1:21" ht="14.5" x14ac:dyDescent="0.35">
      <c r="A602" t="s">
        <v>24</v>
      </c>
      <c r="B602" t="s">
        <v>25</v>
      </c>
      <c r="D602" t="s">
        <v>281</v>
      </c>
      <c r="E602" s="16" t="s">
        <v>1266</v>
      </c>
      <c r="F602" s="17">
        <v>46061</v>
      </c>
      <c r="G602" s="28" t="s">
        <v>653</v>
      </c>
      <c r="H602" t="s">
        <v>21</v>
      </c>
      <c r="I602" t="s">
        <v>22</v>
      </c>
      <c r="J602">
        <v>304</v>
      </c>
      <c r="K602">
        <v>604</v>
      </c>
      <c r="L602">
        <v>1469</v>
      </c>
      <c r="M602" t="s">
        <v>35</v>
      </c>
      <c r="N602">
        <v>3</v>
      </c>
      <c r="P602" s="38">
        <f>SUM(J602:L602)</f>
        <v>2377</v>
      </c>
      <c r="Q602" s="45" t="e">
        <f>P602/O602</f>
        <v>#DIV/0!</v>
      </c>
    </row>
    <row r="603" spans="1:21" ht="14.5" x14ac:dyDescent="0.35">
      <c r="A603" t="s">
        <v>181</v>
      </c>
      <c r="B603" t="s">
        <v>40</v>
      </c>
      <c r="D603" t="s">
        <v>1267</v>
      </c>
      <c r="E603" t="s">
        <v>1268</v>
      </c>
      <c r="F603" s="4">
        <v>46362</v>
      </c>
      <c r="G603" t="s">
        <v>38</v>
      </c>
      <c r="H603" t="s">
        <v>21</v>
      </c>
      <c r="I603" t="s">
        <v>208</v>
      </c>
      <c r="J603" t="s">
        <v>35</v>
      </c>
      <c r="K603" t="s">
        <v>35</v>
      </c>
      <c r="N603" t="s">
        <v>1269</v>
      </c>
      <c r="O603" s="15">
        <v>4900</v>
      </c>
      <c r="P603" s="38">
        <f>448+1913</f>
        <v>2361</v>
      </c>
      <c r="Q603" s="45">
        <f>P603/O603</f>
        <v>0.48183673469387756</v>
      </c>
    </row>
    <row r="604" spans="1:21" ht="14.5" x14ac:dyDescent="0.35">
      <c r="A604" t="s">
        <v>98</v>
      </c>
      <c r="B604" t="s">
        <v>40</v>
      </c>
      <c r="D604" t="s">
        <v>734</v>
      </c>
      <c r="E604" t="s">
        <v>1270</v>
      </c>
      <c r="F604" s="4">
        <v>46158</v>
      </c>
      <c r="G604" t="s">
        <v>1271</v>
      </c>
      <c r="H604" t="s">
        <v>21</v>
      </c>
      <c r="I604" t="s">
        <v>302</v>
      </c>
      <c r="J604" t="s">
        <v>35</v>
      </c>
      <c r="O604" s="15">
        <v>2700</v>
      </c>
      <c r="P604" s="38">
        <v>2353</v>
      </c>
      <c r="Q604" s="45">
        <f>P604/O604</f>
        <v>0.87148148148148152</v>
      </c>
      <c r="T604">
        <v>2016</v>
      </c>
    </row>
    <row r="605" spans="1:21" ht="14.5" x14ac:dyDescent="0.35">
      <c r="A605" t="s">
        <v>98</v>
      </c>
      <c r="B605" t="s">
        <v>40</v>
      </c>
      <c r="D605" t="s">
        <v>1272</v>
      </c>
      <c r="E605" t="s">
        <v>1273</v>
      </c>
      <c r="F605" s="4">
        <v>46179</v>
      </c>
      <c r="G605" t="s">
        <v>3</v>
      </c>
      <c r="H605" t="s">
        <v>21</v>
      </c>
      <c r="I605" t="s">
        <v>22</v>
      </c>
      <c r="J605" t="s">
        <v>35</v>
      </c>
      <c r="N605" t="s">
        <v>1274</v>
      </c>
      <c r="O605" s="15">
        <v>1500</v>
      </c>
      <c r="P605" s="38">
        <f>1025+956+368</f>
        <v>2349</v>
      </c>
      <c r="Q605" s="45">
        <f>P605/O605</f>
        <v>1.5660000000000001</v>
      </c>
      <c r="T605">
        <v>1985</v>
      </c>
    </row>
    <row r="606" spans="1:21" ht="14.5" x14ac:dyDescent="0.35">
      <c r="A606" t="s">
        <v>241</v>
      </c>
      <c r="B606" t="s">
        <v>25</v>
      </c>
      <c r="D606" t="s">
        <v>241</v>
      </c>
      <c r="E606" t="s">
        <v>1275</v>
      </c>
      <c r="F606" s="4">
        <v>46130</v>
      </c>
      <c r="G606" t="s">
        <v>20</v>
      </c>
      <c r="H606" t="s">
        <v>21</v>
      </c>
      <c r="I606" t="s">
        <v>22</v>
      </c>
      <c r="K606" t="s">
        <v>35</v>
      </c>
      <c r="L606" t="s">
        <v>35</v>
      </c>
      <c r="O606" s="30"/>
      <c r="P606" s="40">
        <f>873+1432</f>
        <v>2305</v>
      </c>
      <c r="Q606" s="45" t="e">
        <f>P606/O606</f>
        <v>#DIV/0!</v>
      </c>
      <c r="R606" s="30"/>
      <c r="S606" s="30"/>
    </row>
    <row r="607" spans="1:21" ht="14.5" x14ac:dyDescent="0.35">
      <c r="A607" t="s">
        <v>39</v>
      </c>
      <c r="B607" t="s">
        <v>40</v>
      </c>
      <c r="D607" t="s">
        <v>1276</v>
      </c>
      <c r="E607" t="s">
        <v>1277</v>
      </c>
      <c r="F607" s="4">
        <v>46082</v>
      </c>
      <c r="G607" t="s">
        <v>510</v>
      </c>
      <c r="I607" t="s">
        <v>22</v>
      </c>
      <c r="K607" t="s">
        <v>35</v>
      </c>
      <c r="O607" s="15">
        <v>2700</v>
      </c>
      <c r="P607" s="38">
        <f>O607-O607*0.17</f>
        <v>2241</v>
      </c>
      <c r="Q607" s="45">
        <f>P607/O607</f>
        <v>0.83</v>
      </c>
      <c r="U607" s="9" t="s">
        <v>286</v>
      </c>
    </row>
    <row r="608" spans="1:21" ht="14.5" x14ac:dyDescent="0.35">
      <c r="A608" t="s">
        <v>181</v>
      </c>
      <c r="B608" t="s">
        <v>40</v>
      </c>
      <c r="D608" t="s">
        <v>182</v>
      </c>
      <c r="E608" t="s">
        <v>1278</v>
      </c>
      <c r="F608" s="4">
        <v>46387</v>
      </c>
      <c r="G608" t="s">
        <v>1279</v>
      </c>
      <c r="H608" t="s">
        <v>21</v>
      </c>
      <c r="I608" t="s">
        <v>22</v>
      </c>
      <c r="L608" t="s">
        <v>35</v>
      </c>
      <c r="M608" t="s">
        <v>35</v>
      </c>
      <c r="O608" s="15">
        <v>4000</v>
      </c>
      <c r="P608" s="38">
        <v>2232</v>
      </c>
      <c r="Q608" s="45">
        <f>P608/O608</f>
        <v>0.55800000000000005</v>
      </c>
      <c r="T608">
        <v>2012</v>
      </c>
    </row>
    <row r="609" spans="1:21" ht="14.5" x14ac:dyDescent="0.35">
      <c r="A609" t="s">
        <v>499</v>
      </c>
      <c r="B609" t="s">
        <v>201</v>
      </c>
      <c r="D609" t="s">
        <v>1280</v>
      </c>
      <c r="E609" t="s">
        <v>1281</v>
      </c>
      <c r="F609" s="4">
        <v>46308</v>
      </c>
      <c r="G609" t="s">
        <v>1282</v>
      </c>
      <c r="I609" t="s">
        <v>22</v>
      </c>
      <c r="K609" t="s">
        <v>35</v>
      </c>
      <c r="L609" t="s">
        <v>35</v>
      </c>
      <c r="M609" t="s">
        <v>35</v>
      </c>
      <c r="O609" s="30">
        <v>4000</v>
      </c>
      <c r="P609" s="40">
        <f>678+1070+456</f>
        <v>2204</v>
      </c>
      <c r="Q609" s="45">
        <f>P609/O609</f>
        <v>0.55100000000000005</v>
      </c>
      <c r="R609" s="30"/>
      <c r="S609" s="30"/>
      <c r="T609" s="7"/>
    </row>
    <row r="610" spans="1:21" ht="14.5" x14ac:dyDescent="0.35">
      <c r="A610" t="s">
        <v>927</v>
      </c>
      <c r="B610" t="s">
        <v>40</v>
      </c>
      <c r="D610" t="s">
        <v>1283</v>
      </c>
      <c r="E610" t="s">
        <v>1284</v>
      </c>
      <c r="F610" s="4">
        <v>46138</v>
      </c>
      <c r="G610" t="s">
        <v>38</v>
      </c>
      <c r="H610" t="s">
        <v>21</v>
      </c>
      <c r="I610" t="s">
        <v>22</v>
      </c>
      <c r="K610" t="s">
        <v>35</v>
      </c>
      <c r="L610" t="s">
        <v>35</v>
      </c>
      <c r="O610" s="15">
        <v>20000</v>
      </c>
      <c r="P610" s="38">
        <f>644+1037+418+5+18</f>
        <v>2122</v>
      </c>
      <c r="Q610" s="45">
        <f>P610/O610</f>
        <v>0.1061</v>
      </c>
      <c r="U610" t="s">
        <v>1285</v>
      </c>
    </row>
    <row r="611" spans="1:21" ht="14.5" x14ac:dyDescent="0.35">
      <c r="A611" t="s">
        <v>39</v>
      </c>
      <c r="B611" t="s">
        <v>40</v>
      </c>
      <c r="D611" t="s">
        <v>1286</v>
      </c>
      <c r="E611" t="s">
        <v>1287</v>
      </c>
      <c r="F611" s="4">
        <v>46349</v>
      </c>
      <c r="G611" t="s">
        <v>1288</v>
      </c>
      <c r="I611" t="s">
        <v>22</v>
      </c>
      <c r="K611" t="s">
        <v>35</v>
      </c>
      <c r="P611" s="38">
        <v>2110</v>
      </c>
      <c r="Q611" s="45" t="e">
        <f>P611/O611</f>
        <v>#DIV/0!</v>
      </c>
    </row>
    <row r="612" spans="1:21" ht="14.5" x14ac:dyDescent="0.35">
      <c r="A612" t="s">
        <v>124</v>
      </c>
      <c r="B612" t="s">
        <v>40</v>
      </c>
      <c r="D612" t="s">
        <v>1289</v>
      </c>
      <c r="E612" t="s">
        <v>1290</v>
      </c>
      <c r="F612" s="4">
        <v>46326</v>
      </c>
      <c r="G612" t="s">
        <v>1290</v>
      </c>
      <c r="H612" t="s">
        <v>21</v>
      </c>
      <c r="I612" t="s">
        <v>1141</v>
      </c>
      <c r="N612" t="s">
        <v>1291</v>
      </c>
      <c r="P612" s="38">
        <f>338+221+378+703+444</f>
        <v>2084</v>
      </c>
      <c r="Q612" s="45" t="e">
        <f>P612/O612</f>
        <v>#DIV/0!</v>
      </c>
    </row>
    <row r="613" spans="1:21" ht="14.5" x14ac:dyDescent="0.35">
      <c r="A613" t="s">
        <v>39</v>
      </c>
      <c r="B613" t="s">
        <v>40</v>
      </c>
      <c r="D613" t="s">
        <v>1292</v>
      </c>
      <c r="E613" t="s">
        <v>1293</v>
      </c>
      <c r="F613" s="4">
        <v>46299</v>
      </c>
      <c r="G613" t="s">
        <v>817</v>
      </c>
      <c r="I613" t="s">
        <v>22</v>
      </c>
      <c r="P613" s="38">
        <v>2080</v>
      </c>
      <c r="Q613" s="45" t="e">
        <f>P613/O613</f>
        <v>#DIV/0!</v>
      </c>
    </row>
    <row r="614" spans="1:21" ht="14.5" x14ac:dyDescent="0.35">
      <c r="A614" t="s">
        <v>657</v>
      </c>
      <c r="B614" t="s">
        <v>40</v>
      </c>
      <c r="D614" t="s">
        <v>1298</v>
      </c>
      <c r="E614" t="s">
        <v>1299</v>
      </c>
      <c r="F614" s="4">
        <v>46322</v>
      </c>
      <c r="G614" t="s">
        <v>38</v>
      </c>
      <c r="I614" t="s">
        <v>22</v>
      </c>
      <c r="K614" t="s">
        <v>35</v>
      </c>
      <c r="L614" t="s">
        <v>35</v>
      </c>
      <c r="M614" t="s">
        <v>35</v>
      </c>
      <c r="O614" s="15">
        <v>2500</v>
      </c>
      <c r="P614" s="38">
        <f>O614-O614*0.17</f>
        <v>2075</v>
      </c>
      <c r="Q614" s="45">
        <f>P614/O614</f>
        <v>0.83</v>
      </c>
      <c r="U614" t="s">
        <v>1300</v>
      </c>
    </row>
    <row r="615" spans="1:21" ht="14.5" x14ac:dyDescent="0.35">
      <c r="A615" t="s">
        <v>98</v>
      </c>
      <c r="B615" t="s">
        <v>40</v>
      </c>
      <c r="D615" t="s">
        <v>1301</v>
      </c>
      <c r="E615" t="s">
        <v>1302</v>
      </c>
      <c r="F615" s="4">
        <v>46138</v>
      </c>
      <c r="G615" t="s">
        <v>38</v>
      </c>
      <c r="H615" t="s">
        <v>21</v>
      </c>
      <c r="I615" t="s">
        <v>22</v>
      </c>
      <c r="J615" t="s">
        <v>35</v>
      </c>
      <c r="K615" t="s">
        <v>35</v>
      </c>
      <c r="L615" t="s">
        <v>35</v>
      </c>
      <c r="M615" t="s">
        <v>35</v>
      </c>
      <c r="O615" s="15">
        <v>2500</v>
      </c>
      <c r="P615" s="38">
        <f>O615-O615*0.17</f>
        <v>2075</v>
      </c>
      <c r="Q615" s="45">
        <f>P615/O615</f>
        <v>0.83</v>
      </c>
      <c r="T615">
        <v>2023</v>
      </c>
      <c r="U615" t="s">
        <v>1303</v>
      </c>
    </row>
    <row r="616" spans="1:21" ht="14.5" x14ac:dyDescent="0.35">
      <c r="A616" t="s">
        <v>72</v>
      </c>
      <c r="B616" t="s">
        <v>40</v>
      </c>
      <c r="D616" t="s">
        <v>156</v>
      </c>
      <c r="E616" t="s">
        <v>1294</v>
      </c>
      <c r="F616" s="4">
        <v>46363</v>
      </c>
      <c r="G616" t="s">
        <v>130</v>
      </c>
      <c r="I616" t="s">
        <v>488</v>
      </c>
      <c r="O616" s="15">
        <v>2500</v>
      </c>
      <c r="P616" s="38">
        <f>O616-O616*0.17</f>
        <v>2075</v>
      </c>
      <c r="Q616" s="45">
        <f>P616/O616</f>
        <v>0.83</v>
      </c>
    </row>
    <row r="617" spans="1:21" ht="14.5" x14ac:dyDescent="0.35">
      <c r="A617" t="s">
        <v>98</v>
      </c>
      <c r="B617" t="s">
        <v>40</v>
      </c>
      <c r="D617" t="s">
        <v>1295</v>
      </c>
      <c r="E617" t="s">
        <v>1296</v>
      </c>
      <c r="F617" s="4">
        <v>46354</v>
      </c>
      <c r="G617" t="s">
        <v>1049</v>
      </c>
      <c r="H617" t="s">
        <v>21</v>
      </c>
      <c r="I617" t="s">
        <v>956</v>
      </c>
      <c r="N617" t="s">
        <v>1297</v>
      </c>
      <c r="O617" s="15">
        <v>2500</v>
      </c>
      <c r="P617" s="38">
        <f>O617-O617*0.17</f>
        <v>2075</v>
      </c>
      <c r="Q617" s="45">
        <f>P617/O617</f>
        <v>0.83</v>
      </c>
    </row>
    <row r="618" spans="1:21" ht="14.5" x14ac:dyDescent="0.35">
      <c r="A618" t="s">
        <v>205</v>
      </c>
      <c r="B618" t="s">
        <v>81</v>
      </c>
      <c r="D618" t="s">
        <v>206</v>
      </c>
      <c r="E618" t="s">
        <v>1304</v>
      </c>
      <c r="F618" s="4">
        <v>46348</v>
      </c>
      <c r="G618" t="s">
        <v>1305</v>
      </c>
      <c r="I618" t="s">
        <v>1141</v>
      </c>
      <c r="N618" t="s">
        <v>1306</v>
      </c>
      <c r="P618" s="38">
        <f>99+213+422+419+488+427</f>
        <v>2068</v>
      </c>
      <c r="Q618" s="45" t="e">
        <f>P618/O618</f>
        <v>#DIV/0!</v>
      </c>
    </row>
    <row r="619" spans="1:21" ht="14.5" x14ac:dyDescent="0.35">
      <c r="A619" t="s">
        <v>181</v>
      </c>
      <c r="B619" t="s">
        <v>40</v>
      </c>
      <c r="D619" t="s">
        <v>554</v>
      </c>
      <c r="E619" t="s">
        <v>1307</v>
      </c>
      <c r="F619" s="4">
        <v>46109</v>
      </c>
      <c r="G619" t="s">
        <v>556</v>
      </c>
      <c r="H619" t="s">
        <v>21</v>
      </c>
      <c r="N619" t="s">
        <v>123</v>
      </c>
      <c r="O619" s="15">
        <v>5000</v>
      </c>
      <c r="P619" s="38">
        <v>2065</v>
      </c>
      <c r="Q619" s="45">
        <f>P619/O619</f>
        <v>0.41299999999999998</v>
      </c>
      <c r="T619">
        <v>2016</v>
      </c>
    </row>
    <row r="620" spans="1:21" ht="14.5" x14ac:dyDescent="0.35">
      <c r="A620" t="s">
        <v>39</v>
      </c>
      <c r="B620" t="s">
        <v>40</v>
      </c>
      <c r="D620" t="s">
        <v>76</v>
      </c>
      <c r="E620" t="s">
        <v>1308</v>
      </c>
      <c r="F620" s="4">
        <v>46145</v>
      </c>
      <c r="G620" t="s">
        <v>510</v>
      </c>
      <c r="I620" t="s">
        <v>22</v>
      </c>
      <c r="J620" t="s">
        <v>35</v>
      </c>
      <c r="K620" t="s">
        <v>35</v>
      </c>
      <c r="L620" t="s">
        <v>35</v>
      </c>
      <c r="P620" s="38">
        <f>421+897+718</f>
        <v>2036</v>
      </c>
      <c r="Q620" s="45" t="e">
        <f>P620/O620</f>
        <v>#DIV/0!</v>
      </c>
    </row>
    <row r="621" spans="1:21" ht="14.5" x14ac:dyDescent="0.35">
      <c r="A621" t="s">
        <v>66</v>
      </c>
      <c r="B621" t="s">
        <v>40</v>
      </c>
      <c r="D621" t="s">
        <v>261</v>
      </c>
      <c r="E621" t="s">
        <v>1309</v>
      </c>
      <c r="F621" s="4">
        <v>46276</v>
      </c>
      <c r="G621" t="s">
        <v>606</v>
      </c>
      <c r="H621" t="s">
        <v>21</v>
      </c>
      <c r="I621" t="s">
        <v>22</v>
      </c>
      <c r="L621" t="s">
        <v>35</v>
      </c>
      <c r="M621" t="s">
        <v>35</v>
      </c>
      <c r="P621" s="38">
        <f>1149+868</f>
        <v>2017</v>
      </c>
      <c r="Q621" s="45" t="e">
        <f>P621/O621</f>
        <v>#DIV/0!</v>
      </c>
    </row>
    <row r="622" spans="1:21" ht="16" customHeight="1" x14ac:dyDescent="0.35">
      <c r="A622" t="s">
        <v>66</v>
      </c>
      <c r="B622" t="s">
        <v>40</v>
      </c>
      <c r="D622" t="s">
        <v>1310</v>
      </c>
      <c r="E622" t="s">
        <v>1311</v>
      </c>
      <c r="F622" s="4">
        <v>46285</v>
      </c>
      <c r="G622" t="s">
        <v>1312</v>
      </c>
      <c r="H622" t="s">
        <v>21</v>
      </c>
      <c r="I622" t="s">
        <v>22</v>
      </c>
      <c r="K622" t="s">
        <v>333</v>
      </c>
      <c r="N622">
        <v>6</v>
      </c>
      <c r="P622" s="38">
        <f>1427+585</f>
        <v>2012</v>
      </c>
      <c r="Q622" s="45" t="e">
        <f>P622/O622</f>
        <v>#DIV/0!</v>
      </c>
    </row>
    <row r="623" spans="1:21" ht="16.5" customHeight="1" x14ac:dyDescent="0.35">
      <c r="A623" t="s">
        <v>124</v>
      </c>
      <c r="B623" t="s">
        <v>40</v>
      </c>
      <c r="D623" t="s">
        <v>1313</v>
      </c>
      <c r="E623" t="s">
        <v>1314</v>
      </c>
      <c r="F623" s="4">
        <v>46075</v>
      </c>
      <c r="G623" t="s">
        <v>38</v>
      </c>
      <c r="I623" t="s">
        <v>22</v>
      </c>
      <c r="K623" t="s">
        <v>35</v>
      </c>
      <c r="L623" t="s">
        <v>35</v>
      </c>
      <c r="P623" s="38">
        <f>1383+608</f>
        <v>1991</v>
      </c>
      <c r="Q623" s="45" t="e">
        <f>P623/O623</f>
        <v>#DIV/0!</v>
      </c>
      <c r="U623" t="s">
        <v>1315</v>
      </c>
    </row>
    <row r="624" spans="1:21" ht="13" customHeight="1" x14ac:dyDescent="0.35">
      <c r="A624" t="s">
        <v>124</v>
      </c>
      <c r="B624" t="s">
        <v>40</v>
      </c>
      <c r="D624" t="s">
        <v>1316</v>
      </c>
      <c r="E624" t="s">
        <v>1317</v>
      </c>
      <c r="F624" s="4">
        <v>46082</v>
      </c>
      <c r="G624" t="s">
        <v>38</v>
      </c>
      <c r="I624" t="s">
        <v>22</v>
      </c>
      <c r="K624" t="s">
        <v>35</v>
      </c>
      <c r="P624" s="38">
        <v>1982</v>
      </c>
      <c r="Q624" s="45" t="e">
        <f>P624/O624</f>
        <v>#DIV/0!</v>
      </c>
      <c r="U624" t="s">
        <v>1318</v>
      </c>
    </row>
    <row r="625" spans="1:21" ht="13.5" customHeight="1" x14ac:dyDescent="0.35">
      <c r="A625" t="s">
        <v>338</v>
      </c>
      <c r="B625" t="s">
        <v>40</v>
      </c>
      <c r="D625" t="s">
        <v>701</v>
      </c>
      <c r="E625" t="s">
        <v>1319</v>
      </c>
      <c r="F625" s="4">
        <v>46031</v>
      </c>
      <c r="G625" t="s">
        <v>703</v>
      </c>
      <c r="H625" t="s">
        <v>21</v>
      </c>
      <c r="I625" t="s">
        <v>1141</v>
      </c>
      <c r="J625" t="s">
        <v>35</v>
      </c>
      <c r="K625" t="s">
        <v>35</v>
      </c>
      <c r="L625" t="s">
        <v>35</v>
      </c>
      <c r="M625" t="s">
        <v>35</v>
      </c>
      <c r="O625" s="15">
        <v>2500</v>
      </c>
      <c r="P625" s="38">
        <f>157+772+755+291</f>
        <v>1975</v>
      </c>
      <c r="Q625" s="45">
        <f>P625/O625</f>
        <v>0.79</v>
      </c>
    </row>
    <row r="626" spans="1:21" ht="15" customHeight="1" x14ac:dyDescent="0.35">
      <c r="A626" t="s">
        <v>181</v>
      </c>
      <c r="B626" t="s">
        <v>40</v>
      </c>
      <c r="D626" t="s">
        <v>1320</v>
      </c>
      <c r="E626" t="s">
        <v>1321</v>
      </c>
      <c r="F626" s="4">
        <v>46054</v>
      </c>
      <c r="G626" t="s">
        <v>38</v>
      </c>
      <c r="H626" t="s">
        <v>21</v>
      </c>
      <c r="I626" t="s">
        <v>22</v>
      </c>
      <c r="J626" t="s">
        <v>35</v>
      </c>
      <c r="N626" t="s">
        <v>1322</v>
      </c>
      <c r="O626" s="15">
        <v>1800</v>
      </c>
      <c r="P626" s="38">
        <f>673+703+587</f>
        <v>1963</v>
      </c>
      <c r="Q626" s="45">
        <f>P626/O626</f>
        <v>1.0905555555555555</v>
      </c>
      <c r="U626" t="s">
        <v>1323</v>
      </c>
    </row>
    <row r="627" spans="1:21" ht="14.5" x14ac:dyDescent="0.35">
      <c r="A627" t="s">
        <v>1324</v>
      </c>
      <c r="B627" t="s">
        <v>50</v>
      </c>
      <c r="D627" t="s">
        <v>1325</v>
      </c>
      <c r="E627" t="s">
        <v>1326</v>
      </c>
      <c r="F627" s="4">
        <v>46342</v>
      </c>
      <c r="G627" t="s">
        <v>1327</v>
      </c>
      <c r="I627" t="s">
        <v>22</v>
      </c>
      <c r="J627" t="s">
        <v>35</v>
      </c>
      <c r="K627" t="s">
        <v>35</v>
      </c>
      <c r="L627" t="s">
        <v>35</v>
      </c>
      <c r="M627" t="s">
        <v>35</v>
      </c>
      <c r="P627" s="38">
        <f>99+490+1286+34+6+12+27</f>
        <v>1954</v>
      </c>
      <c r="Q627" s="45" t="e">
        <f>P627/O627</f>
        <v>#DIV/0!</v>
      </c>
    </row>
    <row r="628" spans="1:21" ht="14.5" x14ac:dyDescent="0.35">
      <c r="A628" t="s">
        <v>39</v>
      </c>
      <c r="B628" t="s">
        <v>40</v>
      </c>
      <c r="D628" t="s">
        <v>1328</v>
      </c>
      <c r="E628" t="s">
        <v>1329</v>
      </c>
      <c r="F628" s="4">
        <v>46131</v>
      </c>
      <c r="G628" t="s">
        <v>817</v>
      </c>
      <c r="I628" t="s">
        <v>22</v>
      </c>
      <c r="K628" t="s">
        <v>35</v>
      </c>
      <c r="L628" t="s">
        <v>35</v>
      </c>
      <c r="P628" s="38">
        <f>530+1406</f>
        <v>1936</v>
      </c>
      <c r="Q628" s="45" t="e">
        <f>P628/O628</f>
        <v>#DIV/0!</v>
      </c>
    </row>
    <row r="629" spans="1:21" ht="14.5" x14ac:dyDescent="0.35">
      <c r="A629" t="s">
        <v>181</v>
      </c>
      <c r="B629" t="s">
        <v>40</v>
      </c>
      <c r="D629" t="s">
        <v>1330</v>
      </c>
      <c r="E629" t="s">
        <v>1331</v>
      </c>
      <c r="F629" s="4">
        <v>46075</v>
      </c>
      <c r="G629" t="s">
        <v>38</v>
      </c>
      <c r="H629" t="s">
        <v>21</v>
      </c>
      <c r="I629" t="s">
        <v>22</v>
      </c>
      <c r="J629" t="s">
        <v>35</v>
      </c>
      <c r="K629" t="s">
        <v>35</v>
      </c>
      <c r="L629" t="s">
        <v>35</v>
      </c>
      <c r="N629">
        <v>32</v>
      </c>
      <c r="O629" s="15">
        <v>3000</v>
      </c>
      <c r="P629" s="38">
        <f>389+557+459+504</f>
        <v>1909</v>
      </c>
      <c r="Q629" s="45">
        <f>P629/O629</f>
        <v>0.63633333333333331</v>
      </c>
      <c r="U629" t="s">
        <v>1332</v>
      </c>
    </row>
    <row r="630" spans="1:21" ht="14.5" x14ac:dyDescent="0.35">
      <c r="A630" t="s">
        <v>24</v>
      </c>
      <c r="B630" t="s">
        <v>25</v>
      </c>
      <c r="D630" s="19" t="s">
        <v>1057</v>
      </c>
      <c r="E630" s="16" t="s">
        <v>1333</v>
      </c>
      <c r="F630" s="17">
        <v>46328</v>
      </c>
      <c r="G630" s="28" t="s">
        <v>653</v>
      </c>
      <c r="H630" t="s">
        <v>21</v>
      </c>
      <c r="I630" t="s">
        <v>22</v>
      </c>
      <c r="J630" t="s">
        <v>35</v>
      </c>
      <c r="K630">
        <v>797</v>
      </c>
      <c r="L630">
        <v>1082</v>
      </c>
      <c r="M630" t="s">
        <v>35</v>
      </c>
      <c r="P630" s="38">
        <f>SUM(K630:L630)</f>
        <v>1879</v>
      </c>
      <c r="Q630" s="45" t="e">
        <f>P630/O630</f>
        <v>#DIV/0!</v>
      </c>
    </row>
    <row r="631" spans="1:21" ht="14.5" x14ac:dyDescent="0.35">
      <c r="A631" t="s">
        <v>347</v>
      </c>
      <c r="B631" t="s">
        <v>40</v>
      </c>
      <c r="D631" t="s">
        <v>1334</v>
      </c>
      <c r="E631" t="s">
        <v>1335</v>
      </c>
      <c r="F631" s="4">
        <v>46131</v>
      </c>
      <c r="G631" t="s">
        <v>1336</v>
      </c>
      <c r="I631" t="s">
        <v>22</v>
      </c>
      <c r="J631" t="s">
        <v>35</v>
      </c>
      <c r="M631" t="s">
        <v>35</v>
      </c>
      <c r="P631" s="38">
        <f>1503+352</f>
        <v>1855</v>
      </c>
      <c r="Q631" s="45" t="e">
        <f>P631/O631</f>
        <v>#DIV/0!</v>
      </c>
    </row>
    <row r="632" spans="1:21" ht="16" customHeight="1" x14ac:dyDescent="0.35">
      <c r="A632" t="s">
        <v>66</v>
      </c>
      <c r="B632" t="s">
        <v>40</v>
      </c>
      <c r="D632" t="s">
        <v>1337</v>
      </c>
      <c r="E632" t="s">
        <v>1338</v>
      </c>
      <c r="F632" s="4">
        <v>46305</v>
      </c>
      <c r="G632" t="s">
        <v>38</v>
      </c>
      <c r="I632" t="s">
        <v>22</v>
      </c>
      <c r="J632" t="s">
        <v>35</v>
      </c>
      <c r="P632" s="38">
        <f>453+696+519+160</f>
        <v>1828</v>
      </c>
      <c r="Q632" s="45" t="e">
        <f>P632/O632</f>
        <v>#DIV/0!</v>
      </c>
      <c r="U632" t="s">
        <v>1339</v>
      </c>
    </row>
    <row r="633" spans="1:21" ht="14.5" x14ac:dyDescent="0.35">
      <c r="A633" t="s">
        <v>181</v>
      </c>
      <c r="B633" t="s">
        <v>40</v>
      </c>
      <c r="D633" t="s">
        <v>1340</v>
      </c>
      <c r="E633" t="s">
        <v>1341</v>
      </c>
      <c r="F633" s="4">
        <v>46349</v>
      </c>
      <c r="G633" t="s">
        <v>1342</v>
      </c>
      <c r="H633" t="s">
        <v>21</v>
      </c>
      <c r="I633" t="s">
        <v>22</v>
      </c>
      <c r="K633" t="s">
        <v>35</v>
      </c>
      <c r="O633" s="15">
        <v>2000</v>
      </c>
      <c r="P633" s="38">
        <f>1818</f>
        <v>1818</v>
      </c>
      <c r="Q633" s="45">
        <f>P633/O633</f>
        <v>0.90900000000000003</v>
      </c>
      <c r="T633">
        <v>2002</v>
      </c>
    </row>
    <row r="634" spans="1:21" ht="14.5" x14ac:dyDescent="0.35">
      <c r="A634" t="s">
        <v>66</v>
      </c>
      <c r="B634" t="s">
        <v>40</v>
      </c>
      <c r="D634" t="s">
        <v>1986</v>
      </c>
      <c r="E634" t="s">
        <v>1987</v>
      </c>
      <c r="F634" s="4">
        <v>46180</v>
      </c>
      <c r="I634" t="s">
        <v>22</v>
      </c>
      <c r="J634" t="s">
        <v>35</v>
      </c>
      <c r="K634" t="s">
        <v>35</v>
      </c>
      <c r="L634" t="s">
        <v>35</v>
      </c>
      <c r="M634" t="s">
        <v>35</v>
      </c>
      <c r="P634" s="38">
        <f>671+567+440+135</f>
        <v>1813</v>
      </c>
      <c r="Q634" s="45" t="e">
        <f>P634/O634</f>
        <v>#DIV/0!</v>
      </c>
    </row>
    <row r="635" spans="1:21" ht="14.5" x14ac:dyDescent="0.35">
      <c r="A635" t="s">
        <v>24</v>
      </c>
      <c r="B635" t="s">
        <v>25</v>
      </c>
      <c r="D635" s="16" t="s">
        <v>1260</v>
      </c>
      <c r="E635" s="16" t="s">
        <v>1343</v>
      </c>
      <c r="F635" s="17">
        <v>46369</v>
      </c>
      <c r="G635" s="28" t="s">
        <v>1344</v>
      </c>
      <c r="I635" t="s">
        <v>22</v>
      </c>
      <c r="J635">
        <v>138</v>
      </c>
      <c r="K635">
        <v>580</v>
      </c>
      <c r="L635">
        <v>1085</v>
      </c>
      <c r="M635" t="s">
        <v>35</v>
      </c>
      <c r="P635" s="38">
        <f>SUM(J635:L635)</f>
        <v>1803</v>
      </c>
      <c r="Q635" s="45" t="e">
        <f>P635/O635</f>
        <v>#DIV/0!</v>
      </c>
    </row>
    <row r="636" spans="1:21" ht="14.5" x14ac:dyDescent="0.35">
      <c r="A636" t="s">
        <v>181</v>
      </c>
      <c r="B636" t="s">
        <v>40</v>
      </c>
      <c r="D636" t="s">
        <v>1345</v>
      </c>
      <c r="E636" t="s">
        <v>1346</v>
      </c>
      <c r="F636" s="4">
        <v>46075</v>
      </c>
      <c r="G636" t="s">
        <v>38</v>
      </c>
      <c r="H636" t="s">
        <v>21</v>
      </c>
      <c r="I636" t="s">
        <v>488</v>
      </c>
      <c r="J636" t="s">
        <v>35</v>
      </c>
      <c r="K636" t="s">
        <v>35</v>
      </c>
      <c r="L636" t="s">
        <v>35</v>
      </c>
      <c r="N636">
        <v>30</v>
      </c>
      <c r="O636" s="15">
        <v>3000</v>
      </c>
      <c r="P636" s="38">
        <f>416+457+920</f>
        <v>1793</v>
      </c>
      <c r="Q636" s="45">
        <f>P636/O636</f>
        <v>0.59766666666666668</v>
      </c>
      <c r="T636">
        <v>1999</v>
      </c>
      <c r="U636" t="s">
        <v>1332</v>
      </c>
    </row>
    <row r="637" spans="1:21" ht="14.5" x14ac:dyDescent="0.35">
      <c r="A637" t="s">
        <v>72</v>
      </c>
      <c r="B637" t="s">
        <v>40</v>
      </c>
      <c r="D637" t="s">
        <v>1347</v>
      </c>
      <c r="E637" t="s">
        <v>1348</v>
      </c>
      <c r="F637" s="4">
        <v>46152</v>
      </c>
      <c r="G637" t="s">
        <v>1348</v>
      </c>
      <c r="H637" t="s">
        <v>21</v>
      </c>
      <c r="I637" t="s">
        <v>22</v>
      </c>
      <c r="J637" t="s">
        <v>35</v>
      </c>
      <c r="K637" t="s">
        <v>35</v>
      </c>
      <c r="O637" s="15">
        <v>14000</v>
      </c>
      <c r="P637" s="38">
        <f>1775</f>
        <v>1775</v>
      </c>
      <c r="Q637" s="45">
        <f>P637/O637</f>
        <v>0.12678571428571428</v>
      </c>
    </row>
    <row r="638" spans="1:21" ht="14.5" x14ac:dyDescent="0.35">
      <c r="A638" t="s">
        <v>66</v>
      </c>
      <c r="B638" t="s">
        <v>40</v>
      </c>
      <c r="D638" t="s">
        <v>1979</v>
      </c>
      <c r="E638" t="s">
        <v>1980</v>
      </c>
      <c r="F638" s="4">
        <v>46271</v>
      </c>
      <c r="G638" t="s">
        <v>38</v>
      </c>
      <c r="I638" t="s">
        <v>22</v>
      </c>
      <c r="K638" t="s">
        <v>35</v>
      </c>
      <c r="L638" t="s">
        <v>35</v>
      </c>
      <c r="M638" t="s">
        <v>35</v>
      </c>
      <c r="P638" s="38">
        <f>224+177+597+349+142+147+44+86</f>
        <v>1766</v>
      </c>
      <c r="Q638" s="45" t="e">
        <f>P638/O638</f>
        <v>#DIV/0!</v>
      </c>
    </row>
    <row r="639" spans="1:21" ht="16" customHeight="1" x14ac:dyDescent="0.35">
      <c r="A639" t="s">
        <v>39</v>
      </c>
      <c r="B639" t="s">
        <v>40</v>
      </c>
      <c r="D639" t="s">
        <v>41</v>
      </c>
      <c r="E639" t="s">
        <v>1349</v>
      </c>
      <c r="F639" s="4">
        <v>46089</v>
      </c>
      <c r="G639" t="s">
        <v>510</v>
      </c>
      <c r="I639" t="s">
        <v>22</v>
      </c>
      <c r="K639" t="s">
        <v>35</v>
      </c>
      <c r="L639" t="s">
        <v>35</v>
      </c>
      <c r="M639" t="s">
        <v>35</v>
      </c>
      <c r="P639" s="38">
        <f>244+696+806</f>
        <v>1746</v>
      </c>
      <c r="Q639" s="45" t="e">
        <f>P639/O639</f>
        <v>#DIV/0!</v>
      </c>
    </row>
    <row r="640" spans="1:21" ht="14.5" x14ac:dyDescent="0.35">
      <c r="A640" t="s">
        <v>181</v>
      </c>
      <c r="B640" t="s">
        <v>40</v>
      </c>
      <c r="D640" t="s">
        <v>1350</v>
      </c>
      <c r="E640" t="s">
        <v>1351</v>
      </c>
      <c r="F640" s="4">
        <v>46068</v>
      </c>
      <c r="G640" t="s">
        <v>1352</v>
      </c>
      <c r="H640" t="s">
        <v>21</v>
      </c>
      <c r="I640" t="s">
        <v>22</v>
      </c>
      <c r="J640" t="s">
        <v>35</v>
      </c>
      <c r="K640" t="s">
        <v>35</v>
      </c>
      <c r="N640">
        <v>32</v>
      </c>
      <c r="O640" s="15">
        <v>1200</v>
      </c>
      <c r="P640" s="38">
        <f>280+256+742+464</f>
        <v>1742</v>
      </c>
      <c r="Q640" s="45">
        <f>P640/O640</f>
        <v>1.4516666666666667</v>
      </c>
      <c r="U640" t="s">
        <v>1353</v>
      </c>
    </row>
    <row r="641" spans="1:21" ht="17.5" customHeight="1" x14ac:dyDescent="0.35">
      <c r="A641" t="s">
        <v>181</v>
      </c>
      <c r="B641" t="s">
        <v>40</v>
      </c>
      <c r="D641" t="s">
        <v>1354</v>
      </c>
      <c r="E641" t="s">
        <v>1355</v>
      </c>
      <c r="F641" s="4">
        <v>46292</v>
      </c>
      <c r="G641" t="s">
        <v>3</v>
      </c>
      <c r="H641" t="s">
        <v>21</v>
      </c>
      <c r="I641" t="s">
        <v>22</v>
      </c>
      <c r="K641" t="s">
        <v>35</v>
      </c>
      <c r="L641" t="s">
        <v>35</v>
      </c>
      <c r="O641" s="15">
        <v>4200</v>
      </c>
      <c r="P641" s="38">
        <f>1417+323</f>
        <v>1740</v>
      </c>
      <c r="Q641" s="45">
        <f>P641/O641</f>
        <v>0.41428571428571431</v>
      </c>
      <c r="U641" t="s">
        <v>1356</v>
      </c>
    </row>
    <row r="642" spans="1:21" ht="14.5" x14ac:dyDescent="0.35">
      <c r="A642" t="s">
        <v>181</v>
      </c>
      <c r="B642" t="s">
        <v>40</v>
      </c>
      <c r="D642" t="s">
        <v>1357</v>
      </c>
      <c r="E642" t="s">
        <v>1358</v>
      </c>
      <c r="F642" s="4">
        <v>46068</v>
      </c>
      <c r="G642" t="s">
        <v>1359</v>
      </c>
      <c r="H642" t="s">
        <v>21</v>
      </c>
      <c r="I642" t="s">
        <v>22</v>
      </c>
      <c r="J642" t="s">
        <v>35</v>
      </c>
      <c r="K642" t="s">
        <v>35</v>
      </c>
      <c r="N642">
        <v>8</v>
      </c>
      <c r="O642" s="15">
        <v>2000</v>
      </c>
      <c r="P642" s="38">
        <f>401+1206+79+48</f>
        <v>1734</v>
      </c>
      <c r="Q642" s="45">
        <f>P642/O642</f>
        <v>0.86699999999999999</v>
      </c>
      <c r="T642">
        <v>2015</v>
      </c>
    </row>
    <row r="643" spans="1:21" ht="14.5" x14ac:dyDescent="0.35">
      <c r="A643" t="s">
        <v>1181</v>
      </c>
      <c r="B643" t="s">
        <v>1182</v>
      </c>
      <c r="D643" t="s">
        <v>1182</v>
      </c>
      <c r="E643" t="s">
        <v>2152</v>
      </c>
      <c r="G643" t="s">
        <v>38</v>
      </c>
      <c r="I643" t="s">
        <v>22</v>
      </c>
      <c r="K643">
        <v>1245</v>
      </c>
      <c r="M643">
        <v>489</v>
      </c>
      <c r="N643" t="s">
        <v>495</v>
      </c>
      <c r="P643" s="38">
        <f>SUM(K643:M643)</f>
        <v>1734</v>
      </c>
      <c r="Q643" s="45" t="e">
        <f>P643/O643</f>
        <v>#DIV/0!</v>
      </c>
      <c r="U643" t="s">
        <v>2153</v>
      </c>
    </row>
    <row r="644" spans="1:21" ht="14.5" x14ac:dyDescent="0.35">
      <c r="A644" t="s">
        <v>272</v>
      </c>
      <c r="B644" t="s">
        <v>31</v>
      </c>
      <c r="D644" t="s">
        <v>1360</v>
      </c>
      <c r="E644" t="s">
        <v>1361</v>
      </c>
      <c r="F644" s="4">
        <v>46082</v>
      </c>
      <c r="G644" t="s">
        <v>716</v>
      </c>
      <c r="I644" t="s">
        <v>22</v>
      </c>
      <c r="K644" t="s">
        <v>35</v>
      </c>
      <c r="L644" t="s">
        <v>35</v>
      </c>
      <c r="M644" t="s">
        <v>35</v>
      </c>
      <c r="O644" s="30">
        <v>2500</v>
      </c>
      <c r="P644" s="40">
        <f>575+590+551</f>
        <v>1716</v>
      </c>
      <c r="Q644" s="45">
        <f>P644/O644</f>
        <v>0.68640000000000001</v>
      </c>
      <c r="R644" s="30"/>
      <c r="S644" s="30"/>
    </row>
    <row r="645" spans="1:21" ht="14.5" x14ac:dyDescent="0.35">
      <c r="A645" t="s">
        <v>657</v>
      </c>
      <c r="B645" t="s">
        <v>40</v>
      </c>
      <c r="D645" t="s">
        <v>1362</v>
      </c>
      <c r="E645" t="s">
        <v>1363</v>
      </c>
      <c r="F645" s="4">
        <v>46270</v>
      </c>
      <c r="G645" t="s">
        <v>38</v>
      </c>
      <c r="H645" t="s">
        <v>21</v>
      </c>
      <c r="I645" t="s">
        <v>22</v>
      </c>
      <c r="K645" t="s">
        <v>35</v>
      </c>
      <c r="L645" t="s">
        <v>35</v>
      </c>
      <c r="M645" t="s">
        <v>35</v>
      </c>
      <c r="N645" t="s">
        <v>123</v>
      </c>
      <c r="O645" s="15">
        <v>2000</v>
      </c>
      <c r="P645" s="38">
        <f>O645-O645*0.17</f>
        <v>1660</v>
      </c>
      <c r="Q645" s="45">
        <f>P645/O645</f>
        <v>0.83</v>
      </c>
      <c r="U645" t="s">
        <v>1364</v>
      </c>
    </row>
    <row r="646" spans="1:21" ht="14.5" x14ac:dyDescent="0.35">
      <c r="A646" t="s">
        <v>657</v>
      </c>
      <c r="B646" t="s">
        <v>40</v>
      </c>
      <c r="D646" t="s">
        <v>657</v>
      </c>
      <c r="E646" t="s">
        <v>1365</v>
      </c>
      <c r="F646" s="4">
        <v>46209</v>
      </c>
      <c r="G646" t="s">
        <v>38</v>
      </c>
      <c r="I646" t="s">
        <v>1366</v>
      </c>
      <c r="L646" t="s">
        <v>35</v>
      </c>
      <c r="N646">
        <v>6</v>
      </c>
      <c r="O646" s="15">
        <v>2000</v>
      </c>
      <c r="P646" s="38">
        <f>O646-O646*0.17</f>
        <v>1660</v>
      </c>
      <c r="Q646" s="45">
        <f>P646/O646</f>
        <v>0.83</v>
      </c>
      <c r="T646">
        <v>1985</v>
      </c>
      <c r="U646" t="s">
        <v>1367</v>
      </c>
    </row>
    <row r="647" spans="1:21" ht="14.5" x14ac:dyDescent="0.35">
      <c r="A647" t="s">
        <v>24</v>
      </c>
      <c r="B647" t="s">
        <v>25</v>
      </c>
      <c r="D647" s="16" t="s">
        <v>1372</v>
      </c>
      <c r="E647" s="16" t="s">
        <v>1373</v>
      </c>
      <c r="F647" s="17">
        <v>46054</v>
      </c>
      <c r="G647" s="28" t="s">
        <v>1374</v>
      </c>
      <c r="I647" t="s">
        <v>22</v>
      </c>
      <c r="J647" t="s">
        <v>35</v>
      </c>
      <c r="K647" t="s">
        <v>35</v>
      </c>
      <c r="L647" t="s">
        <v>35</v>
      </c>
      <c r="M647" t="s">
        <v>35</v>
      </c>
      <c r="O647" s="15">
        <v>2000</v>
      </c>
      <c r="P647" s="38">
        <f>O647-O647*0.17</f>
        <v>1660</v>
      </c>
      <c r="Q647" s="45">
        <f>P647/O647</f>
        <v>0.83</v>
      </c>
    </row>
    <row r="648" spans="1:21" ht="14.5" x14ac:dyDescent="0.35">
      <c r="A648" t="s">
        <v>24</v>
      </c>
      <c r="B648" t="s">
        <v>25</v>
      </c>
      <c r="D648" s="16" t="s">
        <v>1258</v>
      </c>
      <c r="E648" s="16" t="s">
        <v>1375</v>
      </c>
      <c r="F648" s="17">
        <v>45963</v>
      </c>
      <c r="G648" s="28" t="s">
        <v>1376</v>
      </c>
      <c r="I648" t="s">
        <v>22</v>
      </c>
      <c r="K648" t="s">
        <v>35</v>
      </c>
      <c r="L648" t="s">
        <v>35</v>
      </c>
      <c r="M648" t="s">
        <v>35</v>
      </c>
      <c r="O648" s="15">
        <v>2000</v>
      </c>
      <c r="P648" s="38">
        <f>O648-O648*0.17</f>
        <v>1660</v>
      </c>
      <c r="Q648" s="45">
        <f>P648/O648</f>
        <v>0.83</v>
      </c>
    </row>
    <row r="649" spans="1:21" ht="14.5" x14ac:dyDescent="0.35">
      <c r="A649" t="s">
        <v>98</v>
      </c>
      <c r="B649" t="s">
        <v>40</v>
      </c>
      <c r="D649" t="s">
        <v>1369</v>
      </c>
      <c r="E649" t="s">
        <v>1370</v>
      </c>
      <c r="F649" s="4">
        <v>46123</v>
      </c>
      <c r="G649" t="s">
        <v>1049</v>
      </c>
      <c r="H649" t="s">
        <v>21</v>
      </c>
      <c r="I649" t="s">
        <v>956</v>
      </c>
      <c r="N649" t="s">
        <v>1371</v>
      </c>
      <c r="O649" s="15">
        <v>2000</v>
      </c>
      <c r="P649" s="38">
        <f>O649-O649*0.17</f>
        <v>1660</v>
      </c>
      <c r="Q649" s="45">
        <f>P649/O649</f>
        <v>0.83</v>
      </c>
      <c r="U649" s="9" t="s">
        <v>286</v>
      </c>
    </row>
    <row r="650" spans="1:21" ht="14.5" x14ac:dyDescent="0.35">
      <c r="A650" t="s">
        <v>181</v>
      </c>
      <c r="B650" t="s">
        <v>40</v>
      </c>
      <c r="D650" t="s">
        <v>1089</v>
      </c>
      <c r="E650" t="s">
        <v>1368</v>
      </c>
      <c r="F650" s="4">
        <v>46159</v>
      </c>
      <c r="I650" t="s">
        <v>956</v>
      </c>
      <c r="O650" s="15">
        <v>2000</v>
      </c>
      <c r="P650" s="38">
        <f>O650-O650*0.17</f>
        <v>1660</v>
      </c>
      <c r="Q650" s="45">
        <f>P650/O650</f>
        <v>0.83</v>
      </c>
    </row>
    <row r="651" spans="1:21" ht="14.5" x14ac:dyDescent="0.35">
      <c r="A651" t="s">
        <v>181</v>
      </c>
      <c r="B651" t="s">
        <v>40</v>
      </c>
      <c r="D651" t="s">
        <v>1129</v>
      </c>
      <c r="E651" t="s">
        <v>1377</v>
      </c>
      <c r="F651" s="4">
        <v>46089</v>
      </c>
      <c r="G651" t="s">
        <v>38</v>
      </c>
      <c r="I651" t="s">
        <v>270</v>
      </c>
      <c r="K651" t="s">
        <v>35</v>
      </c>
      <c r="L651" t="s">
        <v>35</v>
      </c>
      <c r="M651" t="s">
        <v>35</v>
      </c>
      <c r="O651" s="15">
        <v>6000</v>
      </c>
      <c r="P651" s="38">
        <f>1006+633</f>
        <v>1639</v>
      </c>
      <c r="Q651" s="45">
        <f>P651/O651</f>
        <v>0.27316666666666667</v>
      </c>
      <c r="U651" t="s">
        <v>1378</v>
      </c>
    </row>
    <row r="652" spans="1:21" ht="14.5" x14ac:dyDescent="0.35">
      <c r="A652" t="s">
        <v>30</v>
      </c>
      <c r="B652" t="s">
        <v>31</v>
      </c>
      <c r="D652" t="s">
        <v>1379</v>
      </c>
      <c r="E652" t="s">
        <v>1380</v>
      </c>
      <c r="F652" s="4">
        <v>46151</v>
      </c>
      <c r="G652" t="s">
        <v>113</v>
      </c>
      <c r="I652" t="s">
        <v>22</v>
      </c>
      <c r="K652" t="s">
        <v>35</v>
      </c>
      <c r="N652" t="s">
        <v>1381</v>
      </c>
      <c r="P652" s="38">
        <f>1623</f>
        <v>1623</v>
      </c>
      <c r="Q652" s="45" t="e">
        <f>P652/O652</f>
        <v>#DIV/0!</v>
      </c>
    </row>
    <row r="653" spans="1:21" ht="14.5" x14ac:dyDescent="0.35">
      <c r="A653" t="s">
        <v>63</v>
      </c>
      <c r="B653" t="s">
        <v>40</v>
      </c>
      <c r="D653" t="s">
        <v>1382</v>
      </c>
      <c r="E653" t="s">
        <v>1383</v>
      </c>
      <c r="F653" s="4">
        <v>46242</v>
      </c>
      <c r="G653" t="s">
        <v>38</v>
      </c>
      <c r="H653" t="s">
        <v>21</v>
      </c>
      <c r="I653" t="s">
        <v>956</v>
      </c>
      <c r="O653" s="15">
        <v>6000</v>
      </c>
      <c r="P653" s="38">
        <f>278+1330</f>
        <v>1608</v>
      </c>
      <c r="Q653" s="45">
        <f>P653/O653</f>
        <v>0.26800000000000002</v>
      </c>
      <c r="U653" t="s">
        <v>1384</v>
      </c>
    </row>
    <row r="654" spans="1:21" ht="14.5" x14ac:dyDescent="0.35">
      <c r="A654" t="s">
        <v>181</v>
      </c>
      <c r="B654" t="s">
        <v>40</v>
      </c>
      <c r="D654" t="s">
        <v>1385</v>
      </c>
      <c r="E654" t="s">
        <v>1386</v>
      </c>
      <c r="F654" s="4">
        <v>46363</v>
      </c>
      <c r="G654" t="s">
        <v>38</v>
      </c>
      <c r="H654" t="s">
        <v>21</v>
      </c>
      <c r="I654" t="s">
        <v>22</v>
      </c>
      <c r="J654" t="s">
        <v>35</v>
      </c>
      <c r="K654" t="s">
        <v>35</v>
      </c>
      <c r="L654" t="s">
        <v>35</v>
      </c>
      <c r="M654" t="s">
        <v>35</v>
      </c>
      <c r="N654">
        <v>2.5</v>
      </c>
      <c r="O654" s="15">
        <f>830+1330+830+100</f>
        <v>3090</v>
      </c>
      <c r="P654" s="38">
        <f>420+591+531+33+25</f>
        <v>1600</v>
      </c>
      <c r="Q654" s="45">
        <f>P654/O654</f>
        <v>0.51779935275080902</v>
      </c>
      <c r="T654">
        <v>2018</v>
      </c>
      <c r="U654" s="22" t="s">
        <v>1387</v>
      </c>
    </row>
    <row r="655" spans="1:21" ht="14.5" x14ac:dyDescent="0.35">
      <c r="A655" t="s">
        <v>581</v>
      </c>
      <c r="B655" t="s">
        <v>40</v>
      </c>
      <c r="D655" t="s">
        <v>1955</v>
      </c>
      <c r="E655" t="s">
        <v>1956</v>
      </c>
      <c r="F655" s="4">
        <v>46137</v>
      </c>
      <c r="G655" t="s">
        <v>651</v>
      </c>
      <c r="H655" t="s">
        <v>48</v>
      </c>
      <c r="I655" t="s">
        <v>22</v>
      </c>
      <c r="L655" t="s">
        <v>35</v>
      </c>
      <c r="P655" s="38">
        <v>1537</v>
      </c>
      <c r="Q655" s="45" t="e">
        <f>P655/O655</f>
        <v>#DIV/0!</v>
      </c>
    </row>
    <row r="656" spans="1:21" ht="14.5" x14ac:dyDescent="0.35">
      <c r="A656" t="s">
        <v>66</v>
      </c>
      <c r="B656" t="s">
        <v>40</v>
      </c>
      <c r="D656" t="s">
        <v>1388</v>
      </c>
      <c r="E656" t="s">
        <v>1389</v>
      </c>
      <c r="F656" s="4">
        <v>46235</v>
      </c>
      <c r="G656" t="s">
        <v>518</v>
      </c>
      <c r="I656" t="s">
        <v>22</v>
      </c>
      <c r="J656" t="s">
        <v>35</v>
      </c>
      <c r="K656" t="s">
        <v>35</v>
      </c>
      <c r="P656" s="38">
        <f>73+360+476+620</f>
        <v>1529</v>
      </c>
      <c r="Q656" s="45" t="e">
        <f>P656/O656</f>
        <v>#DIV/0!</v>
      </c>
    </row>
    <row r="657" spans="1:21" ht="14.5" x14ac:dyDescent="0.35">
      <c r="A657" t="s">
        <v>181</v>
      </c>
      <c r="B657" t="s">
        <v>40</v>
      </c>
      <c r="D657" t="s">
        <v>1390</v>
      </c>
      <c r="E657" t="s">
        <v>1391</v>
      </c>
      <c r="F657" s="4">
        <v>46152</v>
      </c>
      <c r="G657" t="s">
        <v>38</v>
      </c>
      <c r="H657" t="s">
        <v>21</v>
      </c>
      <c r="I657" t="s">
        <v>22</v>
      </c>
      <c r="K657" t="s">
        <v>35</v>
      </c>
      <c r="O657" s="15">
        <v>2000</v>
      </c>
      <c r="P657" s="38">
        <f>1488+34</f>
        <v>1522</v>
      </c>
      <c r="Q657" s="45">
        <f>P657/O657</f>
        <v>0.76100000000000001</v>
      </c>
      <c r="T657">
        <v>1996</v>
      </c>
      <c r="U657" t="s">
        <v>1392</v>
      </c>
    </row>
    <row r="658" spans="1:21" ht="14.5" x14ac:dyDescent="0.35">
      <c r="A658" t="s">
        <v>181</v>
      </c>
      <c r="B658" t="s">
        <v>40</v>
      </c>
      <c r="D658" t="s">
        <v>1330</v>
      </c>
      <c r="E658" t="s">
        <v>1393</v>
      </c>
      <c r="F658" s="4">
        <v>46278</v>
      </c>
      <c r="G658" t="s">
        <v>38</v>
      </c>
      <c r="H658" t="s">
        <v>21</v>
      </c>
      <c r="I658" t="s">
        <v>22</v>
      </c>
      <c r="K658" t="s">
        <v>35</v>
      </c>
      <c r="L658" t="s">
        <v>35</v>
      </c>
      <c r="O658" s="15">
        <v>5500</v>
      </c>
      <c r="P658" s="38">
        <f>1073+428</f>
        <v>1501</v>
      </c>
      <c r="Q658" s="45">
        <f>P658/O658</f>
        <v>0.27290909090909093</v>
      </c>
      <c r="U658" t="s">
        <v>1394</v>
      </c>
    </row>
    <row r="659" spans="1:21" ht="14.5" x14ac:dyDescent="0.35">
      <c r="A659" t="s">
        <v>338</v>
      </c>
      <c r="B659" t="s">
        <v>40</v>
      </c>
      <c r="D659" t="s">
        <v>339</v>
      </c>
      <c r="E659" t="s">
        <v>1397</v>
      </c>
      <c r="F659" s="4">
        <v>46172</v>
      </c>
      <c r="G659" t="s">
        <v>1398</v>
      </c>
      <c r="H659" t="s">
        <v>21</v>
      </c>
      <c r="I659" t="s">
        <v>488</v>
      </c>
      <c r="K659" t="s">
        <v>35</v>
      </c>
      <c r="L659" t="s">
        <v>35</v>
      </c>
      <c r="N659" t="s">
        <v>1399</v>
      </c>
      <c r="O659" s="15">
        <v>1800</v>
      </c>
      <c r="P659" s="38">
        <f>O659-O659*0.17</f>
        <v>1494</v>
      </c>
      <c r="Q659" s="45">
        <f>P659/O659</f>
        <v>0.83</v>
      </c>
      <c r="T659">
        <v>2015</v>
      </c>
    </row>
    <row r="660" spans="1:21" ht="14.5" x14ac:dyDescent="0.35">
      <c r="A660" t="s">
        <v>181</v>
      </c>
      <c r="B660" t="s">
        <v>40</v>
      </c>
      <c r="D660" t="s">
        <v>1395</v>
      </c>
      <c r="E660" t="s">
        <v>1396</v>
      </c>
      <c r="F660" s="4">
        <v>46145</v>
      </c>
      <c r="I660" t="s">
        <v>22</v>
      </c>
      <c r="J660" t="s">
        <v>35</v>
      </c>
      <c r="K660" t="s">
        <v>35</v>
      </c>
      <c r="O660" s="15">
        <v>1800</v>
      </c>
      <c r="P660" s="38">
        <f>O660-O660*0.17</f>
        <v>1494</v>
      </c>
      <c r="Q660" s="45">
        <f>P660/O660</f>
        <v>0.83</v>
      </c>
    </row>
    <row r="661" spans="1:21" ht="14.5" x14ac:dyDescent="0.35">
      <c r="A661" t="s">
        <v>39</v>
      </c>
      <c r="B661" t="s">
        <v>40</v>
      </c>
      <c r="D661" t="s">
        <v>1400</v>
      </c>
      <c r="E661" t="s">
        <v>1401</v>
      </c>
      <c r="F661" s="4">
        <v>46096</v>
      </c>
      <c r="G661" t="s">
        <v>510</v>
      </c>
      <c r="I661" t="s">
        <v>22</v>
      </c>
      <c r="K661" t="s">
        <v>35</v>
      </c>
      <c r="P661" s="38">
        <v>1489</v>
      </c>
      <c r="Q661" s="45" t="e">
        <f>P661/O661</f>
        <v>#DIV/0!</v>
      </c>
    </row>
    <row r="662" spans="1:21" ht="14.5" x14ac:dyDescent="0.35">
      <c r="A662" t="s">
        <v>657</v>
      </c>
      <c r="B662" t="s">
        <v>40</v>
      </c>
      <c r="D662" t="s">
        <v>657</v>
      </c>
      <c r="E662" t="s">
        <v>1402</v>
      </c>
      <c r="F662" s="4">
        <v>46131</v>
      </c>
      <c r="G662" t="s">
        <v>38</v>
      </c>
      <c r="H662" t="s">
        <v>21</v>
      </c>
      <c r="I662" t="s">
        <v>488</v>
      </c>
      <c r="N662" t="s">
        <v>1403</v>
      </c>
      <c r="O662" s="15">
        <v>5000</v>
      </c>
      <c r="P662" s="38">
        <f>1487</f>
        <v>1487</v>
      </c>
      <c r="Q662" s="45">
        <f>P662/O662</f>
        <v>0.2974</v>
      </c>
      <c r="U662" t="s">
        <v>1300</v>
      </c>
    </row>
    <row r="663" spans="1:21" ht="14.5" x14ac:dyDescent="0.35">
      <c r="A663" t="s">
        <v>181</v>
      </c>
      <c r="B663" t="s">
        <v>40</v>
      </c>
      <c r="D663" t="s">
        <v>1404</v>
      </c>
      <c r="E663" t="s">
        <v>1405</v>
      </c>
      <c r="F663" s="4">
        <v>46151</v>
      </c>
      <c r="I663" t="s">
        <v>22</v>
      </c>
      <c r="K663" t="s">
        <v>35</v>
      </c>
      <c r="L663" t="s">
        <v>35</v>
      </c>
      <c r="O663" s="15">
        <v>4000</v>
      </c>
      <c r="P663" s="38">
        <f>1139+314</f>
        <v>1453</v>
      </c>
      <c r="Q663" s="45">
        <f>P663/O663</f>
        <v>0.36325000000000002</v>
      </c>
    </row>
    <row r="664" spans="1:21" ht="14.5" x14ac:dyDescent="0.35">
      <c r="A664" t="s">
        <v>181</v>
      </c>
      <c r="B664" t="s">
        <v>40</v>
      </c>
      <c r="D664" t="s">
        <v>182</v>
      </c>
      <c r="E664" t="s">
        <v>1406</v>
      </c>
      <c r="F664" s="4">
        <v>46144</v>
      </c>
      <c r="L664" t="s">
        <v>35</v>
      </c>
      <c r="O664" s="15">
        <v>1600</v>
      </c>
      <c r="P664" s="38">
        <f>1429</f>
        <v>1429</v>
      </c>
      <c r="Q664" s="45">
        <f>P664/O664</f>
        <v>0.89312499999999995</v>
      </c>
      <c r="T664">
        <v>2021</v>
      </c>
    </row>
    <row r="665" spans="1:21" ht="14.5" x14ac:dyDescent="0.35">
      <c r="A665" t="s">
        <v>39</v>
      </c>
      <c r="B665" t="s">
        <v>40</v>
      </c>
      <c r="D665" t="s">
        <v>1407</v>
      </c>
      <c r="E665" t="s">
        <v>1408</v>
      </c>
      <c r="F665" s="4">
        <v>46089</v>
      </c>
      <c r="G665" t="s">
        <v>1409</v>
      </c>
      <c r="H665" t="s">
        <v>21</v>
      </c>
      <c r="I665" t="s">
        <v>22</v>
      </c>
      <c r="J665" t="s">
        <v>35</v>
      </c>
      <c r="K665" t="s">
        <v>35</v>
      </c>
      <c r="L665" t="s">
        <v>35</v>
      </c>
      <c r="P665" s="38">
        <f>663+553+208</f>
        <v>1424</v>
      </c>
      <c r="Q665" s="45" t="e">
        <f>P665/O665</f>
        <v>#DIV/0!</v>
      </c>
    </row>
    <row r="666" spans="1:21" ht="14.5" x14ac:dyDescent="0.35">
      <c r="A666" t="s">
        <v>181</v>
      </c>
      <c r="B666" t="s">
        <v>40</v>
      </c>
      <c r="D666" t="s">
        <v>1414</v>
      </c>
      <c r="E666" t="s">
        <v>1415</v>
      </c>
      <c r="F666" s="4">
        <v>46299</v>
      </c>
      <c r="G666" t="s">
        <v>38</v>
      </c>
      <c r="H666" t="s">
        <v>21</v>
      </c>
      <c r="I666" t="s">
        <v>22</v>
      </c>
      <c r="N666" t="s">
        <v>1416</v>
      </c>
      <c r="O666" s="15">
        <v>1700</v>
      </c>
      <c r="P666" s="38">
        <f>O666-O666*0.17</f>
        <v>1411</v>
      </c>
      <c r="Q666" s="45">
        <f>P666/O666</f>
        <v>0.83</v>
      </c>
      <c r="U666" s="18"/>
    </row>
    <row r="667" spans="1:21" ht="14.5" x14ac:dyDescent="0.35">
      <c r="A667" t="s">
        <v>98</v>
      </c>
      <c r="B667" t="s">
        <v>40</v>
      </c>
      <c r="D667" t="s">
        <v>1410</v>
      </c>
      <c r="E667" t="s">
        <v>1411</v>
      </c>
      <c r="F667" s="4">
        <v>46214</v>
      </c>
      <c r="G667" t="s">
        <v>1049</v>
      </c>
      <c r="H667" t="s">
        <v>21</v>
      </c>
      <c r="I667" t="s">
        <v>956</v>
      </c>
      <c r="N667" t="s">
        <v>1412</v>
      </c>
      <c r="O667" s="15">
        <v>1700</v>
      </c>
      <c r="P667" s="38">
        <f>O667-O667*0.17</f>
        <v>1411</v>
      </c>
      <c r="Q667" s="45">
        <f>P667/O667</f>
        <v>0.83</v>
      </c>
    </row>
    <row r="668" spans="1:21" ht="14.5" x14ac:dyDescent="0.35">
      <c r="A668" t="s">
        <v>98</v>
      </c>
      <c r="B668" t="s">
        <v>40</v>
      </c>
      <c r="D668" t="s">
        <v>99</v>
      </c>
      <c r="E668" t="s">
        <v>1413</v>
      </c>
      <c r="F668" s="4">
        <v>46312</v>
      </c>
      <c r="G668" t="s">
        <v>1049</v>
      </c>
      <c r="H668" t="s">
        <v>21</v>
      </c>
      <c r="I668" t="s">
        <v>956</v>
      </c>
      <c r="N668">
        <v>30</v>
      </c>
      <c r="O668" s="15">
        <v>1700</v>
      </c>
      <c r="P668" s="38">
        <f>O668-O668*0.17</f>
        <v>1411</v>
      </c>
      <c r="Q668" s="45">
        <f>P668/O668</f>
        <v>0.83</v>
      </c>
    </row>
    <row r="669" spans="1:21" ht="14.5" x14ac:dyDescent="0.35">
      <c r="A669" t="s">
        <v>124</v>
      </c>
      <c r="B669" t="s">
        <v>40</v>
      </c>
      <c r="D669" t="s">
        <v>1417</v>
      </c>
      <c r="E669" t="s">
        <v>1418</v>
      </c>
      <c r="F669" s="4">
        <v>46328</v>
      </c>
      <c r="G669" t="s">
        <v>38</v>
      </c>
      <c r="I669" t="s">
        <v>22</v>
      </c>
      <c r="K669" t="s">
        <v>35</v>
      </c>
      <c r="M669" t="s">
        <v>35</v>
      </c>
      <c r="P669" s="38">
        <f>1069+339</f>
        <v>1408</v>
      </c>
      <c r="Q669" s="45" t="e">
        <f>P669/O669</f>
        <v>#DIV/0!</v>
      </c>
    </row>
    <row r="670" spans="1:21" ht="14.5" x14ac:dyDescent="0.35">
      <c r="A670" t="s">
        <v>124</v>
      </c>
      <c r="B670" t="s">
        <v>40</v>
      </c>
      <c r="D670" t="s">
        <v>1419</v>
      </c>
      <c r="E670" t="s">
        <v>1420</v>
      </c>
      <c r="F670" s="4">
        <v>46305</v>
      </c>
      <c r="G670" t="s">
        <v>904</v>
      </c>
      <c r="H670" t="s">
        <v>48</v>
      </c>
      <c r="I670" t="s">
        <v>22</v>
      </c>
      <c r="M670" t="s">
        <v>35</v>
      </c>
      <c r="N670">
        <v>15</v>
      </c>
      <c r="P670" s="38">
        <f>911+493</f>
        <v>1404</v>
      </c>
      <c r="Q670" s="45" t="e">
        <f>P670/O670</f>
        <v>#DIV/0!</v>
      </c>
    </row>
    <row r="671" spans="1:21" ht="14.5" x14ac:dyDescent="0.35">
      <c r="A671" t="s">
        <v>491</v>
      </c>
      <c r="B671" t="s">
        <v>40</v>
      </c>
      <c r="D671" t="s">
        <v>1421</v>
      </c>
      <c r="E671" t="s">
        <v>1422</v>
      </c>
      <c r="F671" s="4">
        <v>46221</v>
      </c>
      <c r="G671" t="s">
        <v>1190</v>
      </c>
      <c r="H671" t="s">
        <v>21</v>
      </c>
      <c r="I671" t="s">
        <v>956</v>
      </c>
      <c r="N671" t="s">
        <v>1423</v>
      </c>
      <c r="P671" s="38">
        <f>30+97+66+220+403+319+267</f>
        <v>1402</v>
      </c>
      <c r="Q671" s="45" t="e">
        <f>P671/O671</f>
        <v>#DIV/0!</v>
      </c>
    </row>
    <row r="672" spans="1:21" ht="14.5" x14ac:dyDescent="0.35">
      <c r="A672" t="s">
        <v>181</v>
      </c>
      <c r="B672" t="s">
        <v>40</v>
      </c>
      <c r="D672" t="s">
        <v>1424</v>
      </c>
      <c r="E672" t="s">
        <v>1425</v>
      </c>
      <c r="F672" s="4"/>
      <c r="G672" t="s">
        <v>38</v>
      </c>
      <c r="H672" t="s">
        <v>21</v>
      </c>
      <c r="I672" t="s">
        <v>22</v>
      </c>
      <c r="K672" t="s">
        <v>35</v>
      </c>
      <c r="O672" s="15">
        <v>3000</v>
      </c>
      <c r="P672" s="38">
        <v>1394</v>
      </c>
      <c r="Q672" s="45">
        <f>P672/O672</f>
        <v>0.46466666666666667</v>
      </c>
      <c r="T672">
        <v>1998</v>
      </c>
      <c r="U672" t="s">
        <v>1426</v>
      </c>
    </row>
    <row r="673" spans="1:21" ht="14.5" x14ac:dyDescent="0.35">
      <c r="A673" t="s">
        <v>39</v>
      </c>
      <c r="B673" t="s">
        <v>40</v>
      </c>
      <c r="D673" t="s">
        <v>1427</v>
      </c>
      <c r="E673" t="s">
        <v>1428</v>
      </c>
      <c r="F673" s="4">
        <v>46278</v>
      </c>
      <c r="G673" t="s">
        <v>1429</v>
      </c>
      <c r="H673" t="s">
        <v>21</v>
      </c>
      <c r="I673" t="s">
        <v>22</v>
      </c>
      <c r="K673" t="s">
        <v>35</v>
      </c>
      <c r="N673" t="s">
        <v>495</v>
      </c>
      <c r="P673" s="38">
        <f>1227+41*4</f>
        <v>1391</v>
      </c>
      <c r="Q673" s="45" t="e">
        <f>P673/O673</f>
        <v>#DIV/0!</v>
      </c>
    </row>
    <row r="674" spans="1:21" ht="14.5" x14ac:dyDescent="0.35">
      <c r="A674" t="s">
        <v>2127</v>
      </c>
      <c r="B674" t="s">
        <v>40</v>
      </c>
      <c r="D674" t="s">
        <v>872</v>
      </c>
      <c r="E674" t="s">
        <v>2281</v>
      </c>
      <c r="F674" s="4">
        <v>46291</v>
      </c>
      <c r="G674" t="s">
        <v>2282</v>
      </c>
      <c r="I674" t="s">
        <v>22</v>
      </c>
      <c r="L674">
        <v>828</v>
      </c>
      <c r="M674" t="s">
        <v>35</v>
      </c>
      <c r="P674" s="38">
        <f>828+556</f>
        <v>1384</v>
      </c>
      <c r="Q674" s="45" t="e">
        <f>P674/O674</f>
        <v>#DIV/0!</v>
      </c>
    </row>
    <row r="675" spans="1:21" ht="14.5" x14ac:dyDescent="0.35">
      <c r="A675" t="s">
        <v>181</v>
      </c>
      <c r="B675" t="s">
        <v>40</v>
      </c>
      <c r="D675" t="s">
        <v>1267</v>
      </c>
      <c r="E675" t="s">
        <v>1430</v>
      </c>
      <c r="F675" s="4">
        <v>46306</v>
      </c>
      <c r="G675" t="s">
        <v>1431</v>
      </c>
      <c r="H675" t="s">
        <v>48</v>
      </c>
      <c r="I675" t="s">
        <v>22</v>
      </c>
      <c r="K675" t="s">
        <v>35</v>
      </c>
      <c r="L675" t="s">
        <v>35</v>
      </c>
      <c r="M675" t="s">
        <v>35</v>
      </c>
      <c r="O675" s="15">
        <v>2000</v>
      </c>
      <c r="P675" s="38">
        <v>1368</v>
      </c>
      <c r="Q675" s="45">
        <f>P675/O675</f>
        <v>0.68400000000000005</v>
      </c>
      <c r="T675">
        <v>2014</v>
      </c>
      <c r="U675" t="s">
        <v>1432</v>
      </c>
    </row>
    <row r="676" spans="1:21" ht="14.5" x14ac:dyDescent="0.35">
      <c r="A676" t="s">
        <v>24</v>
      </c>
      <c r="B676" t="s">
        <v>25</v>
      </c>
      <c r="D676" s="16" t="s">
        <v>1433</v>
      </c>
      <c r="E676" s="16" t="s">
        <v>1434</v>
      </c>
      <c r="F676" s="17">
        <v>46061</v>
      </c>
      <c r="G676" s="28" t="s">
        <v>38</v>
      </c>
      <c r="I676" t="s">
        <v>22</v>
      </c>
      <c r="K676">
        <v>251</v>
      </c>
      <c r="L676">
        <v>532</v>
      </c>
      <c r="M676">
        <v>560</v>
      </c>
      <c r="N676">
        <v>4</v>
      </c>
      <c r="P676" s="38">
        <f>SUM(K676:M676)</f>
        <v>1343</v>
      </c>
      <c r="Q676" s="45" t="e">
        <f>P676/O676</f>
        <v>#DIV/0!</v>
      </c>
    </row>
    <row r="677" spans="1:21" ht="14.5" x14ac:dyDescent="0.35">
      <c r="A677" t="s">
        <v>124</v>
      </c>
      <c r="B677" t="s">
        <v>40</v>
      </c>
      <c r="D677" t="s">
        <v>1435</v>
      </c>
      <c r="E677" t="s">
        <v>1436</v>
      </c>
      <c r="F677" s="4">
        <v>46159</v>
      </c>
      <c r="G677" t="s">
        <v>1437</v>
      </c>
      <c r="I677" t="s">
        <v>208</v>
      </c>
      <c r="K677" t="s">
        <v>35</v>
      </c>
      <c r="L677" t="s">
        <v>1438</v>
      </c>
      <c r="M677" t="s">
        <v>35</v>
      </c>
      <c r="N677" t="s">
        <v>1439</v>
      </c>
      <c r="P677" s="38">
        <f>340+207+329+213+249</f>
        <v>1338</v>
      </c>
      <c r="Q677" s="45" t="e">
        <f>P677/O677</f>
        <v>#DIV/0!</v>
      </c>
    </row>
    <row r="678" spans="1:21" ht="14.5" x14ac:dyDescent="0.35">
      <c r="A678" t="s">
        <v>98</v>
      </c>
      <c r="B678" t="s">
        <v>40</v>
      </c>
      <c r="D678" t="s">
        <v>1440</v>
      </c>
      <c r="E678" t="s">
        <v>1441</v>
      </c>
      <c r="F678" s="4">
        <v>46309</v>
      </c>
      <c r="G678" t="s">
        <v>38</v>
      </c>
      <c r="H678" t="s">
        <v>21</v>
      </c>
      <c r="I678" t="s">
        <v>22</v>
      </c>
      <c r="K678" t="s">
        <v>35</v>
      </c>
      <c r="N678" t="s">
        <v>1442</v>
      </c>
      <c r="O678" s="15">
        <v>1300</v>
      </c>
      <c r="P678" s="38">
        <f>624+390+323</f>
        <v>1337</v>
      </c>
      <c r="Q678" s="45">
        <f>P678/O678</f>
        <v>1.0284615384615385</v>
      </c>
      <c r="T678">
        <v>2011</v>
      </c>
      <c r="U678" t="s">
        <v>1443</v>
      </c>
    </row>
    <row r="679" spans="1:21" ht="14.5" x14ac:dyDescent="0.35">
      <c r="A679" t="s">
        <v>181</v>
      </c>
      <c r="B679" t="s">
        <v>40</v>
      </c>
      <c r="D679" t="s">
        <v>1446</v>
      </c>
      <c r="E679" t="s">
        <v>1447</v>
      </c>
      <c r="F679" s="4">
        <v>46095</v>
      </c>
      <c r="G679" t="s">
        <v>38</v>
      </c>
      <c r="H679" t="s">
        <v>21</v>
      </c>
      <c r="I679" t="s">
        <v>488</v>
      </c>
      <c r="J679" t="s">
        <v>35</v>
      </c>
      <c r="K679" t="s">
        <v>35</v>
      </c>
      <c r="M679" t="s">
        <v>1448</v>
      </c>
      <c r="N679" t="s">
        <v>1448</v>
      </c>
      <c r="O679" s="15">
        <v>1600</v>
      </c>
      <c r="P679" s="38">
        <f>O679-O679*0.17</f>
        <v>1328</v>
      </c>
      <c r="Q679" s="45">
        <f>P679/O679</f>
        <v>0.83</v>
      </c>
      <c r="U679" t="s">
        <v>1449</v>
      </c>
    </row>
    <row r="680" spans="1:21" ht="14.5" x14ac:dyDescent="0.35">
      <c r="A680" t="s">
        <v>181</v>
      </c>
      <c r="B680" t="s">
        <v>40</v>
      </c>
      <c r="D680" t="s">
        <v>1450</v>
      </c>
      <c r="E680" t="s">
        <v>1451</v>
      </c>
      <c r="G680" t="s">
        <v>38</v>
      </c>
      <c r="H680" t="s">
        <v>21</v>
      </c>
      <c r="I680" t="s">
        <v>22</v>
      </c>
      <c r="K680" t="s">
        <v>35</v>
      </c>
      <c r="L680" t="s">
        <v>35</v>
      </c>
      <c r="O680" s="15">
        <v>1600</v>
      </c>
      <c r="P680" s="38">
        <f>O680-O680*0.17</f>
        <v>1328</v>
      </c>
      <c r="Q680" s="45">
        <f>P680/O680</f>
        <v>0.83</v>
      </c>
      <c r="T680">
        <v>2021</v>
      </c>
      <c r="U680" t="s">
        <v>1323</v>
      </c>
    </row>
    <row r="681" spans="1:21" ht="14.5" x14ac:dyDescent="0.35">
      <c r="A681" t="s">
        <v>98</v>
      </c>
      <c r="B681" t="s">
        <v>40</v>
      </c>
      <c r="D681" t="s">
        <v>1444</v>
      </c>
      <c r="E681" t="s">
        <v>1445</v>
      </c>
      <c r="F681" s="4">
        <v>46135</v>
      </c>
      <c r="I681" t="s">
        <v>22</v>
      </c>
      <c r="O681" s="15">
        <v>1600</v>
      </c>
      <c r="P681" s="38">
        <f>O681-O681*0.17</f>
        <v>1328</v>
      </c>
      <c r="Q681" s="45">
        <f>P681/O681</f>
        <v>0.83</v>
      </c>
    </row>
    <row r="682" spans="1:21" ht="14.5" x14ac:dyDescent="0.35">
      <c r="A682" t="s">
        <v>181</v>
      </c>
      <c r="B682" t="s">
        <v>40</v>
      </c>
      <c r="D682" t="s">
        <v>1452</v>
      </c>
      <c r="E682" t="s">
        <v>1453</v>
      </c>
      <c r="F682" s="4">
        <v>46145</v>
      </c>
      <c r="I682" t="s">
        <v>22</v>
      </c>
      <c r="J682" t="s">
        <v>35</v>
      </c>
      <c r="K682" t="s">
        <v>35</v>
      </c>
      <c r="P682" s="38">
        <f>1312</f>
        <v>1312</v>
      </c>
      <c r="Q682" s="45" t="e">
        <f>P682/O682</f>
        <v>#DIV/0!</v>
      </c>
    </row>
    <row r="683" spans="1:21" ht="14.5" x14ac:dyDescent="0.35">
      <c r="A683" t="s">
        <v>24</v>
      </c>
      <c r="B683" t="s">
        <v>25</v>
      </c>
      <c r="D683" t="s">
        <v>1454</v>
      </c>
      <c r="E683" t="s">
        <v>1455</v>
      </c>
      <c r="F683" s="4"/>
      <c r="G683" s="28" t="s">
        <v>653</v>
      </c>
      <c r="H683" t="s">
        <v>21</v>
      </c>
      <c r="I683" t="s">
        <v>22</v>
      </c>
      <c r="J683" t="s">
        <v>35</v>
      </c>
      <c r="K683" t="s">
        <v>35</v>
      </c>
      <c r="L683" t="s">
        <v>35</v>
      </c>
      <c r="M683" t="s">
        <v>35</v>
      </c>
      <c r="O683" s="30">
        <v>40000</v>
      </c>
      <c r="P683" s="40">
        <f>96+411+660+6+29+11+85</f>
        <v>1298</v>
      </c>
      <c r="Q683" s="45">
        <f>P683/O683</f>
        <v>3.245E-2</v>
      </c>
      <c r="R683" s="30"/>
      <c r="S683" s="30"/>
    </row>
    <row r="684" spans="1:21" ht="14.5" x14ac:dyDescent="0.35">
      <c r="A684" t="s">
        <v>66</v>
      </c>
      <c r="B684" t="s">
        <v>40</v>
      </c>
      <c r="D684" t="s">
        <v>328</v>
      </c>
      <c r="E684" t="s">
        <v>1456</v>
      </c>
      <c r="F684" s="4">
        <v>46187</v>
      </c>
      <c r="G684" t="s">
        <v>330</v>
      </c>
      <c r="I684" t="s">
        <v>22</v>
      </c>
      <c r="L684" t="s">
        <v>35</v>
      </c>
      <c r="M684" t="s">
        <v>35</v>
      </c>
      <c r="P684" s="38">
        <f>724+572</f>
        <v>1296</v>
      </c>
      <c r="Q684" s="45" t="e">
        <f>P684/O684</f>
        <v>#DIV/0!</v>
      </c>
    </row>
    <row r="685" spans="1:21" ht="14.5" x14ac:dyDescent="0.35">
      <c r="A685" t="s">
        <v>1170</v>
      </c>
      <c r="B685" t="s">
        <v>201</v>
      </c>
      <c r="D685" t="s">
        <v>1171</v>
      </c>
      <c r="E685" t="s">
        <v>1457</v>
      </c>
      <c r="F685" s="4">
        <v>46143</v>
      </c>
      <c r="G685" t="s">
        <v>1174</v>
      </c>
      <c r="H685" t="s">
        <v>21</v>
      </c>
      <c r="I685" t="s">
        <v>22</v>
      </c>
      <c r="J685" t="s">
        <v>35</v>
      </c>
      <c r="K685" t="s">
        <v>35</v>
      </c>
      <c r="L685" t="s">
        <v>35</v>
      </c>
      <c r="M685" t="s">
        <v>35</v>
      </c>
      <c r="N685" t="s">
        <v>513</v>
      </c>
      <c r="O685" s="30">
        <v>17000</v>
      </c>
      <c r="P685" s="40">
        <f>286+693+315</f>
        <v>1294</v>
      </c>
      <c r="Q685" s="45">
        <f>P685/O685</f>
        <v>7.6117647058823526E-2</v>
      </c>
      <c r="R685" s="30"/>
      <c r="S685" s="30"/>
      <c r="T685" s="7">
        <v>2003</v>
      </c>
    </row>
    <row r="686" spans="1:21" ht="14.5" x14ac:dyDescent="0.35">
      <c r="A686" t="s">
        <v>124</v>
      </c>
      <c r="B686" t="s">
        <v>40</v>
      </c>
      <c r="D686" t="s">
        <v>1458</v>
      </c>
      <c r="E686" t="s">
        <v>1459</v>
      </c>
      <c r="F686" s="4">
        <v>46152</v>
      </c>
      <c r="I686" t="s">
        <v>22</v>
      </c>
      <c r="K686" t="s">
        <v>35</v>
      </c>
      <c r="M686" t="s">
        <v>35</v>
      </c>
      <c r="P686" s="38">
        <f>359+933</f>
        <v>1292</v>
      </c>
      <c r="Q686" s="45" t="e">
        <f>P686/O686</f>
        <v>#DIV/0!</v>
      </c>
    </row>
    <row r="687" spans="1:21" ht="14.5" x14ac:dyDescent="0.35">
      <c r="A687" t="s">
        <v>124</v>
      </c>
      <c r="B687" t="s">
        <v>40</v>
      </c>
      <c r="D687" t="s">
        <v>1460</v>
      </c>
      <c r="E687" t="s">
        <v>1461</v>
      </c>
      <c r="F687" s="4">
        <v>46138</v>
      </c>
      <c r="G687" t="s">
        <v>1462</v>
      </c>
      <c r="I687" t="s">
        <v>22</v>
      </c>
      <c r="J687" t="s">
        <v>35</v>
      </c>
      <c r="K687" t="s">
        <v>35</v>
      </c>
      <c r="L687" t="s">
        <v>35</v>
      </c>
      <c r="N687">
        <v>30</v>
      </c>
      <c r="P687" s="38">
        <f>258+631+132+269</f>
        <v>1290</v>
      </c>
      <c r="Q687" s="45" t="e">
        <f>P687/O687</f>
        <v>#DIV/0!</v>
      </c>
    </row>
    <row r="688" spans="1:21" ht="16" customHeight="1" x14ac:dyDescent="0.35">
      <c r="A688" t="s">
        <v>98</v>
      </c>
      <c r="B688" t="s">
        <v>40</v>
      </c>
      <c r="E688" t="s">
        <v>1463</v>
      </c>
      <c r="F688" s="4">
        <v>46292</v>
      </c>
      <c r="I688" t="s">
        <v>22</v>
      </c>
      <c r="K688" t="s">
        <v>35</v>
      </c>
      <c r="L688" t="s">
        <v>35</v>
      </c>
      <c r="M688" t="s">
        <v>35</v>
      </c>
      <c r="O688" s="15">
        <v>1600</v>
      </c>
      <c r="P688" s="38">
        <f>173+448+663</f>
        <v>1284</v>
      </c>
      <c r="Q688" s="45">
        <f>P688/O688</f>
        <v>0.80249999999999999</v>
      </c>
    </row>
    <row r="689" spans="1:21" ht="14.5" x14ac:dyDescent="0.35">
      <c r="A689" t="s">
        <v>85</v>
      </c>
      <c r="B689" t="s">
        <v>40</v>
      </c>
      <c r="D689" t="s">
        <v>383</v>
      </c>
      <c r="E689" t="s">
        <v>2113</v>
      </c>
      <c r="F689" s="4">
        <v>46179</v>
      </c>
      <c r="G689" t="s">
        <v>2114</v>
      </c>
      <c r="I689" t="s">
        <v>22</v>
      </c>
      <c r="L689" t="s">
        <v>35</v>
      </c>
      <c r="P689" s="38">
        <f>817+455</f>
        <v>1272</v>
      </c>
      <c r="Q689" s="45" t="e">
        <f>P689/O689</f>
        <v>#DIV/0!</v>
      </c>
    </row>
    <row r="690" spans="1:21" ht="14.5" x14ac:dyDescent="0.35">
      <c r="A690" t="s">
        <v>181</v>
      </c>
      <c r="B690" t="s">
        <v>40</v>
      </c>
      <c r="D690" t="s">
        <v>1464</v>
      </c>
      <c r="E690" t="s">
        <v>1465</v>
      </c>
      <c r="F690" s="4">
        <v>46159</v>
      </c>
      <c r="G690" t="s">
        <v>1466</v>
      </c>
      <c r="H690" t="s">
        <v>21</v>
      </c>
      <c r="I690" t="s">
        <v>22</v>
      </c>
      <c r="K690" t="s">
        <v>35</v>
      </c>
      <c r="L690" t="s">
        <v>35</v>
      </c>
      <c r="N690" t="s">
        <v>1467</v>
      </c>
      <c r="O690" s="15">
        <v>1500</v>
      </c>
      <c r="P690" s="38">
        <f>739+528</f>
        <v>1267</v>
      </c>
      <c r="Q690" s="45">
        <f>P690/O690</f>
        <v>0.84466666666666668</v>
      </c>
      <c r="T690">
        <v>2014</v>
      </c>
    </row>
    <row r="691" spans="1:21" ht="14.5" x14ac:dyDescent="0.35">
      <c r="A691" t="s">
        <v>1170</v>
      </c>
      <c r="B691" t="s">
        <v>201</v>
      </c>
      <c r="D691" t="s">
        <v>1171</v>
      </c>
      <c r="E691" t="s">
        <v>1470</v>
      </c>
      <c r="F691" t="s">
        <v>1471</v>
      </c>
      <c r="G691" t="s">
        <v>1174</v>
      </c>
      <c r="I691" t="s">
        <v>22</v>
      </c>
      <c r="K691" t="s">
        <v>35</v>
      </c>
      <c r="O691" s="30">
        <v>1500</v>
      </c>
      <c r="P691" s="38">
        <f>O691-O691*0.17</f>
        <v>1245</v>
      </c>
      <c r="Q691" s="45">
        <f>P691/O691</f>
        <v>0.83</v>
      </c>
      <c r="T691" s="7"/>
    </row>
    <row r="692" spans="1:21" ht="14.5" x14ac:dyDescent="0.35">
      <c r="A692" t="s">
        <v>338</v>
      </c>
      <c r="B692" t="s">
        <v>40</v>
      </c>
      <c r="D692" t="s">
        <v>1475</v>
      </c>
      <c r="E692" t="s">
        <v>1476</v>
      </c>
      <c r="F692" s="4">
        <v>46179</v>
      </c>
      <c r="G692" t="s">
        <v>1477</v>
      </c>
      <c r="I692" t="s">
        <v>22</v>
      </c>
      <c r="J692" t="s">
        <v>35</v>
      </c>
      <c r="K692" t="s">
        <v>35</v>
      </c>
      <c r="L692" t="s">
        <v>35</v>
      </c>
      <c r="O692" s="15">
        <v>1500</v>
      </c>
      <c r="P692" s="38">
        <f>O692-O692*0.17</f>
        <v>1245</v>
      </c>
      <c r="Q692" s="45">
        <f>P692/O692</f>
        <v>0.83</v>
      </c>
    </row>
    <row r="693" spans="1:21" ht="14.5" x14ac:dyDescent="0.35">
      <c r="A693" t="s">
        <v>24</v>
      </c>
      <c r="B693" t="s">
        <v>25</v>
      </c>
      <c r="D693" s="16" t="s">
        <v>638</v>
      </c>
      <c r="E693" s="16" t="s">
        <v>640</v>
      </c>
      <c r="F693" s="17">
        <v>45935</v>
      </c>
      <c r="G693" s="28" t="s">
        <v>640</v>
      </c>
      <c r="I693" t="s">
        <v>22</v>
      </c>
      <c r="K693" t="s">
        <v>35</v>
      </c>
      <c r="L693" t="s">
        <v>35</v>
      </c>
      <c r="M693" t="s">
        <v>35</v>
      </c>
      <c r="O693" s="15">
        <v>1500</v>
      </c>
      <c r="P693" s="38">
        <f>O693-O693*0.17</f>
        <v>1245</v>
      </c>
      <c r="Q693" s="45">
        <f>P693/O693</f>
        <v>0.83</v>
      </c>
    </row>
    <row r="694" spans="1:21" ht="14.5" x14ac:dyDescent="0.35">
      <c r="A694" t="s">
        <v>98</v>
      </c>
      <c r="B694" t="s">
        <v>40</v>
      </c>
      <c r="D694" t="s">
        <v>1472</v>
      </c>
      <c r="E694" t="s">
        <v>1473</v>
      </c>
      <c r="F694" s="4">
        <v>46089</v>
      </c>
      <c r="G694" t="s">
        <v>1049</v>
      </c>
      <c r="H694" t="s">
        <v>21</v>
      </c>
      <c r="I694" t="s">
        <v>956</v>
      </c>
      <c r="J694" t="s">
        <v>35</v>
      </c>
      <c r="N694" t="s">
        <v>1474</v>
      </c>
      <c r="O694" s="15">
        <v>1500</v>
      </c>
      <c r="P694" s="38">
        <f>O694-O694*0.17</f>
        <v>1245</v>
      </c>
      <c r="Q694" s="45">
        <f>P694/O694</f>
        <v>0.83</v>
      </c>
    </row>
    <row r="695" spans="1:21" ht="14.5" x14ac:dyDescent="0.35">
      <c r="A695" t="s">
        <v>98</v>
      </c>
      <c r="B695" t="s">
        <v>40</v>
      </c>
      <c r="D695" t="s">
        <v>1478</v>
      </c>
      <c r="E695" t="s">
        <v>1479</v>
      </c>
      <c r="F695" s="4">
        <v>46068</v>
      </c>
      <c r="G695" t="s">
        <v>1049</v>
      </c>
      <c r="H695" t="s">
        <v>21</v>
      </c>
      <c r="I695" t="s">
        <v>956</v>
      </c>
      <c r="N695" t="s">
        <v>1480</v>
      </c>
      <c r="O695" s="15">
        <v>1500</v>
      </c>
      <c r="P695" s="38">
        <f>O695-O695*0.17</f>
        <v>1245</v>
      </c>
      <c r="Q695" s="45">
        <f>P695/O695</f>
        <v>0.83</v>
      </c>
      <c r="U695" s="9" t="s">
        <v>286</v>
      </c>
    </row>
    <row r="696" spans="1:21" ht="14.5" x14ac:dyDescent="0.35">
      <c r="A696" t="s">
        <v>98</v>
      </c>
      <c r="B696" t="s">
        <v>40</v>
      </c>
      <c r="D696" t="s">
        <v>99</v>
      </c>
      <c r="E696" t="s">
        <v>1484</v>
      </c>
      <c r="F696" s="4">
        <v>46110</v>
      </c>
      <c r="G696" t="s">
        <v>1049</v>
      </c>
      <c r="H696" t="s">
        <v>21</v>
      </c>
      <c r="I696" t="s">
        <v>956</v>
      </c>
      <c r="N696">
        <v>20</v>
      </c>
      <c r="O696" s="15">
        <v>1500</v>
      </c>
      <c r="P696" s="38">
        <f>O696-O696*0.17</f>
        <v>1245</v>
      </c>
      <c r="Q696" s="45">
        <f>P696/O696</f>
        <v>0.83</v>
      </c>
    </row>
    <row r="697" spans="1:21" ht="14.5" x14ac:dyDescent="0.35">
      <c r="A697" t="s">
        <v>39</v>
      </c>
      <c r="B697" t="s">
        <v>40</v>
      </c>
      <c r="D697" t="s">
        <v>1468</v>
      </c>
      <c r="E697" t="s">
        <v>1469</v>
      </c>
      <c r="F697" s="4">
        <v>46306</v>
      </c>
      <c r="I697" t="s">
        <v>22</v>
      </c>
      <c r="K697" t="s">
        <v>35</v>
      </c>
      <c r="L697" t="s">
        <v>35</v>
      </c>
      <c r="M697" t="s">
        <v>35</v>
      </c>
      <c r="O697" s="15">
        <v>1500</v>
      </c>
      <c r="P697" s="38">
        <f>O697-O697*0.17</f>
        <v>1245</v>
      </c>
      <c r="Q697" s="45">
        <f>P697/O697</f>
        <v>0.83</v>
      </c>
    </row>
    <row r="698" spans="1:21" ht="14.5" x14ac:dyDescent="0.35">
      <c r="A698" t="s">
        <v>98</v>
      </c>
      <c r="B698" t="s">
        <v>40</v>
      </c>
      <c r="D698" t="s">
        <v>1481</v>
      </c>
      <c r="E698" t="s">
        <v>1482</v>
      </c>
      <c r="I698" t="s">
        <v>22</v>
      </c>
      <c r="K698" t="s">
        <v>35</v>
      </c>
      <c r="N698" t="s">
        <v>1483</v>
      </c>
      <c r="O698" s="15">
        <v>1500</v>
      </c>
      <c r="P698" s="38">
        <f>O698-O698*0.17</f>
        <v>1245</v>
      </c>
      <c r="Q698" s="45">
        <f>P698/O698</f>
        <v>0.83</v>
      </c>
      <c r="T698">
        <v>2021</v>
      </c>
    </row>
    <row r="699" spans="1:21" ht="14.5" x14ac:dyDescent="0.35">
      <c r="A699" s="34" t="s">
        <v>44</v>
      </c>
      <c r="B699" s="34" t="s">
        <v>40</v>
      </c>
      <c r="C699" s="34" t="s">
        <v>2318</v>
      </c>
      <c r="D699" s="34" t="s">
        <v>1842</v>
      </c>
      <c r="E699" s="34" t="s">
        <v>1843</v>
      </c>
      <c r="F699" s="35">
        <v>46370</v>
      </c>
      <c r="G699" s="34" t="s">
        <v>165</v>
      </c>
      <c r="H699" s="34" t="s">
        <v>48</v>
      </c>
      <c r="I699" s="34" t="s">
        <v>22</v>
      </c>
      <c r="J699" s="36"/>
      <c r="K699" s="36"/>
      <c r="L699" s="36" t="s">
        <v>333</v>
      </c>
      <c r="M699" s="36" t="s">
        <v>333</v>
      </c>
      <c r="N699" s="34" t="s">
        <v>687</v>
      </c>
      <c r="O699" s="36">
        <v>12000</v>
      </c>
      <c r="P699" s="36">
        <f>430+399*2</f>
        <v>1228</v>
      </c>
      <c r="Q699" s="45">
        <f>P699/O699</f>
        <v>0.10233333333333333</v>
      </c>
      <c r="R699" s="36"/>
      <c r="S699" s="37"/>
      <c r="T699" s="34"/>
      <c r="U699" s="34"/>
    </row>
    <row r="700" spans="1:21" ht="14.5" x14ac:dyDescent="0.35">
      <c r="A700" t="s">
        <v>581</v>
      </c>
      <c r="B700" t="s">
        <v>40</v>
      </c>
      <c r="D700" t="s">
        <v>1485</v>
      </c>
      <c r="E700" t="s">
        <v>1486</v>
      </c>
      <c r="I700" t="s">
        <v>22</v>
      </c>
      <c r="K700" t="s">
        <v>35</v>
      </c>
      <c r="L700" t="s">
        <v>1175</v>
      </c>
      <c r="P700" s="38">
        <f>486+518+202</f>
        <v>1206</v>
      </c>
      <c r="Q700" s="45" t="e">
        <f>P700/O700</f>
        <v>#DIV/0!</v>
      </c>
    </row>
    <row r="701" spans="1:21" ht="14.5" x14ac:dyDescent="0.35">
      <c r="A701" t="s">
        <v>581</v>
      </c>
      <c r="B701" t="s">
        <v>40</v>
      </c>
      <c r="D701" t="s">
        <v>1962</v>
      </c>
      <c r="E701" t="s">
        <v>1963</v>
      </c>
      <c r="F701" s="4">
        <v>46039</v>
      </c>
      <c r="G701" t="s">
        <v>38</v>
      </c>
      <c r="I701" t="s">
        <v>22</v>
      </c>
      <c r="J701" t="s">
        <v>35</v>
      </c>
      <c r="K701" t="s">
        <v>35</v>
      </c>
      <c r="N701">
        <v>8</v>
      </c>
      <c r="P701" s="38">
        <f>469+60+203+460</f>
        <v>1192</v>
      </c>
      <c r="Q701" s="45" t="e">
        <f>P701/O701</f>
        <v>#DIV/0!</v>
      </c>
    </row>
    <row r="702" spans="1:21" ht="15.65" customHeight="1" x14ac:dyDescent="0.35">
      <c r="A702" t="s">
        <v>39</v>
      </c>
      <c r="B702" t="s">
        <v>40</v>
      </c>
      <c r="D702" t="s">
        <v>1487</v>
      </c>
      <c r="E702" t="s">
        <v>1488</v>
      </c>
      <c r="F702" s="4">
        <v>46082</v>
      </c>
      <c r="G702" t="s">
        <v>817</v>
      </c>
      <c r="I702" t="s">
        <v>22</v>
      </c>
      <c r="P702" s="38">
        <v>1188</v>
      </c>
      <c r="Q702" s="45" t="e">
        <f>P702/O702</f>
        <v>#DIV/0!</v>
      </c>
    </row>
    <row r="703" spans="1:21" ht="14.15" customHeight="1" x14ac:dyDescent="0.35">
      <c r="A703" t="s">
        <v>24</v>
      </c>
      <c r="B703" t="s">
        <v>25</v>
      </c>
      <c r="D703" s="16" t="s">
        <v>695</v>
      </c>
      <c r="E703" s="16" t="s">
        <v>1489</v>
      </c>
      <c r="F703" s="17">
        <v>45998</v>
      </c>
      <c r="G703" s="28" t="s">
        <v>1490</v>
      </c>
      <c r="I703" t="s">
        <v>22</v>
      </c>
      <c r="K703">
        <v>288</v>
      </c>
      <c r="L703">
        <v>896</v>
      </c>
      <c r="M703" t="s">
        <v>35</v>
      </c>
      <c r="N703" t="s">
        <v>760</v>
      </c>
      <c r="P703" s="38">
        <f>SUM(K703:L703)</f>
        <v>1184</v>
      </c>
      <c r="Q703" s="45" t="e">
        <f>P703/O703</f>
        <v>#DIV/0!</v>
      </c>
    </row>
    <row r="704" spans="1:21" ht="14.5" x14ac:dyDescent="0.35">
      <c r="A704" t="s">
        <v>72</v>
      </c>
      <c r="B704" t="s">
        <v>40</v>
      </c>
      <c r="D704" t="s">
        <v>1347</v>
      </c>
      <c r="E704" t="s">
        <v>1491</v>
      </c>
      <c r="F704" s="4">
        <v>46194</v>
      </c>
      <c r="G704" t="s">
        <v>130</v>
      </c>
      <c r="I704" t="s">
        <v>488</v>
      </c>
      <c r="N704" t="s">
        <v>1442</v>
      </c>
      <c r="O704" s="15">
        <v>1400</v>
      </c>
      <c r="P704" s="38">
        <f>O704-O704*0.17</f>
        <v>1162</v>
      </c>
      <c r="Q704" s="45">
        <f>P704/O704</f>
        <v>0.83</v>
      </c>
      <c r="T704">
        <v>2022</v>
      </c>
    </row>
    <row r="705" spans="1:21" ht="14.5" x14ac:dyDescent="0.35">
      <c r="A705" t="s">
        <v>181</v>
      </c>
      <c r="B705" t="s">
        <v>40</v>
      </c>
      <c r="D705" t="s">
        <v>1083</v>
      </c>
      <c r="E705" t="s">
        <v>1492</v>
      </c>
      <c r="F705" s="4">
        <v>46313</v>
      </c>
      <c r="G705" t="s">
        <v>38</v>
      </c>
      <c r="H705" t="s">
        <v>21</v>
      </c>
      <c r="I705" t="s">
        <v>22</v>
      </c>
      <c r="K705" t="s">
        <v>35</v>
      </c>
      <c r="L705" t="s">
        <v>35</v>
      </c>
      <c r="M705" t="s">
        <v>35</v>
      </c>
      <c r="P705" s="38">
        <f>497+211+420</f>
        <v>1128</v>
      </c>
      <c r="Q705" s="45" t="e">
        <f>P705/O705</f>
        <v>#DIV/0!</v>
      </c>
      <c r="U705" t="s">
        <v>1493</v>
      </c>
    </row>
    <row r="706" spans="1:21" ht="14.5" x14ac:dyDescent="0.35">
      <c r="A706" t="s">
        <v>39</v>
      </c>
      <c r="B706" t="s">
        <v>40</v>
      </c>
      <c r="D706" t="s">
        <v>457</v>
      </c>
      <c r="E706" t="s">
        <v>2202</v>
      </c>
      <c r="F706" s="4">
        <v>46066</v>
      </c>
      <c r="G706" t="s">
        <v>2203</v>
      </c>
      <c r="I706" t="s">
        <v>22</v>
      </c>
      <c r="L706" t="s">
        <v>35</v>
      </c>
      <c r="M706" t="s">
        <v>35</v>
      </c>
      <c r="N706" t="s">
        <v>123</v>
      </c>
      <c r="P706" s="38">
        <f>670+455</f>
        <v>1125</v>
      </c>
      <c r="Q706" s="45" t="e">
        <f>P706/O706</f>
        <v>#DIV/0!</v>
      </c>
    </row>
    <row r="707" spans="1:21" ht="14.5" x14ac:dyDescent="0.35">
      <c r="A707" t="s">
        <v>1527</v>
      </c>
      <c r="B707" t="s">
        <v>201</v>
      </c>
      <c r="D707" t="s">
        <v>2267</v>
      </c>
      <c r="E707" t="s">
        <v>2268</v>
      </c>
      <c r="F707" s="4">
        <v>46031</v>
      </c>
      <c r="G707" t="s">
        <v>38</v>
      </c>
      <c r="I707" t="s">
        <v>22</v>
      </c>
      <c r="K707" t="s">
        <v>35</v>
      </c>
      <c r="N707" t="s">
        <v>2269</v>
      </c>
      <c r="P707" s="38">
        <f>762+350</f>
        <v>1112</v>
      </c>
      <c r="Q707" s="45" t="e">
        <f>P707/O707</f>
        <v>#DIV/0!</v>
      </c>
      <c r="U707" t="s">
        <v>2266</v>
      </c>
    </row>
    <row r="708" spans="1:21" ht="14.5" x14ac:dyDescent="0.35">
      <c r="A708" t="s">
        <v>66</v>
      </c>
      <c r="B708" t="s">
        <v>40</v>
      </c>
      <c r="D708" t="s">
        <v>1998</v>
      </c>
      <c r="E708" t="s">
        <v>1999</v>
      </c>
      <c r="F708" s="4">
        <v>46284</v>
      </c>
      <c r="I708" t="s">
        <v>22</v>
      </c>
      <c r="J708" t="s">
        <v>35</v>
      </c>
      <c r="K708" t="s">
        <v>35</v>
      </c>
      <c r="L708" t="s">
        <v>35</v>
      </c>
      <c r="P708" s="38">
        <f>463+329+116+26+156</f>
        <v>1090</v>
      </c>
      <c r="Q708" s="45" t="e">
        <f>P708/O708</f>
        <v>#DIV/0!</v>
      </c>
    </row>
    <row r="709" spans="1:21" ht="14.5" x14ac:dyDescent="0.35">
      <c r="A709" t="s">
        <v>657</v>
      </c>
      <c r="B709" t="s">
        <v>40</v>
      </c>
      <c r="D709" t="s">
        <v>1494</v>
      </c>
      <c r="E709" t="s">
        <v>1495</v>
      </c>
      <c r="F709" s="4">
        <v>46290</v>
      </c>
      <c r="G709" t="s">
        <v>38</v>
      </c>
      <c r="H709" t="s">
        <v>21</v>
      </c>
      <c r="I709" t="s">
        <v>718</v>
      </c>
      <c r="O709" s="15">
        <v>1300</v>
      </c>
      <c r="P709" s="38">
        <f>O709-O709*0.17</f>
        <v>1079</v>
      </c>
      <c r="Q709" s="45">
        <f>P709/O709</f>
        <v>0.83</v>
      </c>
      <c r="U709" t="s">
        <v>1496</v>
      </c>
    </row>
    <row r="710" spans="1:21" ht="14.5" x14ac:dyDescent="0.35">
      <c r="A710" t="s">
        <v>98</v>
      </c>
      <c r="B710" t="s">
        <v>40</v>
      </c>
      <c r="D710" t="s">
        <v>1497</v>
      </c>
      <c r="E710" t="s">
        <v>1498</v>
      </c>
      <c r="G710" t="s">
        <v>1049</v>
      </c>
      <c r="H710" t="s">
        <v>21</v>
      </c>
      <c r="I710" t="s">
        <v>956</v>
      </c>
      <c r="J710" t="s">
        <v>35</v>
      </c>
      <c r="K710" t="s">
        <v>35</v>
      </c>
      <c r="O710" s="15">
        <v>1300</v>
      </c>
      <c r="P710" s="38">
        <f>390+48*2+28*4+461</f>
        <v>1059</v>
      </c>
      <c r="Q710" s="45">
        <f>P710/O710</f>
        <v>0.81461538461538463</v>
      </c>
      <c r="T710">
        <v>2019</v>
      </c>
    </row>
    <row r="711" spans="1:21" ht="14.5" x14ac:dyDescent="0.35">
      <c r="A711" t="s">
        <v>581</v>
      </c>
      <c r="B711" t="s">
        <v>40</v>
      </c>
      <c r="D711" t="s">
        <v>1499</v>
      </c>
      <c r="E711" t="s">
        <v>1500</v>
      </c>
      <c r="F711" s="4">
        <v>46110</v>
      </c>
      <c r="G711" t="s">
        <v>636</v>
      </c>
      <c r="I711" t="s">
        <v>22</v>
      </c>
      <c r="K711" t="s">
        <v>35</v>
      </c>
      <c r="M711" t="s">
        <v>35</v>
      </c>
      <c r="P711" s="38">
        <f>1057</f>
        <v>1057</v>
      </c>
      <c r="Q711" s="45" t="e">
        <f>P711/O711</f>
        <v>#DIV/0!</v>
      </c>
      <c r="U711" t="s">
        <v>1501</v>
      </c>
    </row>
    <row r="712" spans="1:21" ht="14.5" x14ac:dyDescent="0.35">
      <c r="A712" t="s">
        <v>581</v>
      </c>
      <c r="B712" t="s">
        <v>40</v>
      </c>
      <c r="D712" t="s">
        <v>2088</v>
      </c>
      <c r="E712" t="s">
        <v>2089</v>
      </c>
      <c r="F712" s="4">
        <v>46110</v>
      </c>
      <c r="G712" t="s">
        <v>2090</v>
      </c>
      <c r="I712" t="s">
        <v>22</v>
      </c>
      <c r="K712" t="s">
        <v>35</v>
      </c>
      <c r="L712" t="s">
        <v>35</v>
      </c>
      <c r="P712" s="38">
        <v>1047</v>
      </c>
      <c r="Q712" s="45" t="e">
        <f>P712/O712</f>
        <v>#DIV/0!</v>
      </c>
    </row>
    <row r="713" spans="1:21" ht="16.5" customHeight="1" x14ac:dyDescent="0.35">
      <c r="A713" t="s">
        <v>39</v>
      </c>
      <c r="B713" t="s">
        <v>40</v>
      </c>
      <c r="D713" t="s">
        <v>1502</v>
      </c>
      <c r="E713" t="s">
        <v>1503</v>
      </c>
      <c r="F713" s="4">
        <v>46285</v>
      </c>
      <c r="G713" t="s">
        <v>1504</v>
      </c>
      <c r="H713" t="s">
        <v>21</v>
      </c>
      <c r="I713" t="s">
        <v>956</v>
      </c>
      <c r="O713" s="15">
        <v>2000</v>
      </c>
      <c r="P713" s="38">
        <f>375+87+231+85+33+201+17</f>
        <v>1029</v>
      </c>
      <c r="Q713" s="45">
        <f>P713/O713</f>
        <v>0.51449999999999996</v>
      </c>
    </row>
    <row r="714" spans="1:21" ht="17.149999999999999" customHeight="1" x14ac:dyDescent="0.35">
      <c r="A714" t="s">
        <v>72</v>
      </c>
      <c r="B714" t="s">
        <v>40</v>
      </c>
      <c r="D714" t="s">
        <v>1505</v>
      </c>
      <c r="E714" t="s">
        <v>1506</v>
      </c>
      <c r="F714" s="4">
        <v>46163</v>
      </c>
      <c r="G714" t="s">
        <v>1098</v>
      </c>
      <c r="H714" t="s">
        <v>21</v>
      </c>
      <c r="I714" t="s">
        <v>22</v>
      </c>
      <c r="J714" t="s">
        <v>35</v>
      </c>
      <c r="K714" t="s">
        <v>35</v>
      </c>
      <c r="L714" t="s">
        <v>35</v>
      </c>
      <c r="M714" t="s">
        <v>35</v>
      </c>
      <c r="O714" s="15">
        <v>10000</v>
      </c>
      <c r="P714" s="38">
        <f>113+198+715</f>
        <v>1026</v>
      </c>
      <c r="Q714" s="45">
        <f>P714/O714</f>
        <v>0.1026</v>
      </c>
    </row>
    <row r="715" spans="1:21" ht="14.5" x14ac:dyDescent="0.35">
      <c r="A715" t="s">
        <v>181</v>
      </c>
      <c r="B715" t="s">
        <v>40</v>
      </c>
      <c r="D715" t="s">
        <v>1507</v>
      </c>
      <c r="E715" t="s">
        <v>1508</v>
      </c>
      <c r="F715" s="4">
        <v>46151</v>
      </c>
      <c r="G715" t="s">
        <v>1509</v>
      </c>
      <c r="I715" t="s">
        <v>22</v>
      </c>
      <c r="K715" t="s">
        <v>35</v>
      </c>
      <c r="L715" t="s">
        <v>35</v>
      </c>
      <c r="O715" s="15">
        <v>2000</v>
      </c>
      <c r="P715" s="38">
        <v>1012</v>
      </c>
      <c r="Q715" s="45">
        <f>P715/O715</f>
        <v>0.50600000000000001</v>
      </c>
    </row>
    <row r="716" spans="1:21" ht="14.5" x14ac:dyDescent="0.35">
      <c r="A716" t="s">
        <v>181</v>
      </c>
      <c r="B716" t="s">
        <v>40</v>
      </c>
      <c r="D716" t="s">
        <v>1510</v>
      </c>
      <c r="E716" t="s">
        <v>1511</v>
      </c>
      <c r="F716" s="4">
        <v>46277</v>
      </c>
      <c r="G716" t="s">
        <v>38</v>
      </c>
      <c r="H716" t="s">
        <v>21</v>
      </c>
      <c r="I716" t="s">
        <v>488</v>
      </c>
      <c r="L716" t="s">
        <v>35</v>
      </c>
      <c r="O716" s="15">
        <v>1200</v>
      </c>
      <c r="P716" s="38">
        <f>O716-O716*0.17</f>
        <v>996</v>
      </c>
      <c r="Q716" s="45">
        <f>P716/O716</f>
        <v>0.83</v>
      </c>
      <c r="U716" t="s">
        <v>1512</v>
      </c>
    </row>
    <row r="717" spans="1:21" ht="14.5" x14ac:dyDescent="0.35">
      <c r="A717" t="s">
        <v>2127</v>
      </c>
      <c r="B717" t="s">
        <v>40</v>
      </c>
      <c r="D717" t="s">
        <v>2128</v>
      </c>
      <c r="E717" t="s">
        <v>2129</v>
      </c>
      <c r="F717" s="4">
        <v>46313</v>
      </c>
      <c r="G717" t="s">
        <v>3</v>
      </c>
      <c r="H717" t="s">
        <v>21</v>
      </c>
      <c r="I717" t="s">
        <v>22</v>
      </c>
      <c r="J717">
        <v>209</v>
      </c>
      <c r="K717">
        <v>431</v>
      </c>
      <c r="L717">
        <v>346</v>
      </c>
      <c r="P717" s="38">
        <f>SUM(J717:J717:L717)</f>
        <v>986</v>
      </c>
      <c r="Q717" s="45" t="e">
        <f>P717/O717</f>
        <v>#DIV/0!</v>
      </c>
    </row>
    <row r="718" spans="1:21" ht="14.5" x14ac:dyDescent="0.35">
      <c r="A718" t="s">
        <v>1527</v>
      </c>
      <c r="B718" t="s">
        <v>201</v>
      </c>
      <c r="D718" t="s">
        <v>1527</v>
      </c>
      <c r="E718" t="s">
        <v>1528</v>
      </c>
      <c r="F718" s="4"/>
      <c r="G718" t="s">
        <v>38</v>
      </c>
      <c r="H718" t="s">
        <v>48</v>
      </c>
      <c r="I718" t="s">
        <v>22</v>
      </c>
      <c r="K718" t="s">
        <v>35</v>
      </c>
      <c r="M718" t="s">
        <v>35</v>
      </c>
      <c r="O718" s="15">
        <v>1000</v>
      </c>
      <c r="P718" s="38">
        <f>O718-O718*0.17</f>
        <v>830</v>
      </c>
      <c r="Q718" s="45">
        <f>P718/O718</f>
        <v>0.83</v>
      </c>
      <c r="U718" t="s">
        <v>1529</v>
      </c>
    </row>
    <row r="719" spans="1:21" ht="14.5" x14ac:dyDescent="0.35">
      <c r="A719" t="s">
        <v>98</v>
      </c>
      <c r="B719" t="s">
        <v>40</v>
      </c>
      <c r="D719" t="s">
        <v>734</v>
      </c>
      <c r="E719" t="s">
        <v>1520</v>
      </c>
      <c r="F719" s="4">
        <v>46153</v>
      </c>
      <c r="G719" t="s">
        <v>1521</v>
      </c>
      <c r="H719" t="s">
        <v>21</v>
      </c>
      <c r="I719" t="s">
        <v>22</v>
      </c>
      <c r="O719" s="15">
        <v>1000</v>
      </c>
      <c r="P719" s="38">
        <f>O719-O719*0.17</f>
        <v>830</v>
      </c>
      <c r="Q719" s="45">
        <f>P719/O719</f>
        <v>0.83</v>
      </c>
    </row>
    <row r="720" spans="1:21" ht="14.5" x14ac:dyDescent="0.35">
      <c r="A720" t="s">
        <v>181</v>
      </c>
      <c r="B720" t="s">
        <v>40</v>
      </c>
      <c r="D720" t="s">
        <v>1102</v>
      </c>
      <c r="E720" t="s">
        <v>1525</v>
      </c>
      <c r="F720" s="4" t="s">
        <v>1526</v>
      </c>
      <c r="G720" t="s">
        <v>850</v>
      </c>
      <c r="H720" t="s">
        <v>21</v>
      </c>
      <c r="I720" t="s">
        <v>488</v>
      </c>
      <c r="N720">
        <v>12.5</v>
      </c>
      <c r="O720" s="15">
        <v>1000</v>
      </c>
      <c r="P720" s="38">
        <f>O720-O720*0.17</f>
        <v>830</v>
      </c>
      <c r="Q720" s="45">
        <f>P720/O720</f>
        <v>0.83</v>
      </c>
    </row>
    <row r="721" spans="1:21" ht="14.5" x14ac:dyDescent="0.35">
      <c r="A721" t="s">
        <v>338</v>
      </c>
      <c r="B721" t="s">
        <v>40</v>
      </c>
      <c r="D721" t="s">
        <v>1522</v>
      </c>
      <c r="E721" t="s">
        <v>1523</v>
      </c>
      <c r="F721" s="4">
        <v>46270</v>
      </c>
      <c r="G721" t="s">
        <v>1524</v>
      </c>
      <c r="H721" t="s">
        <v>21</v>
      </c>
      <c r="I721" t="s">
        <v>22</v>
      </c>
      <c r="K721" t="s">
        <v>35</v>
      </c>
      <c r="O721" s="15">
        <v>1000</v>
      </c>
      <c r="P721" s="38">
        <f>O721-O721*0.17</f>
        <v>830</v>
      </c>
      <c r="Q721" s="45">
        <f>P721/O721</f>
        <v>0.83</v>
      </c>
    </row>
    <row r="722" spans="1:21" ht="14.5" x14ac:dyDescent="0.35">
      <c r="A722" t="s">
        <v>181</v>
      </c>
      <c r="B722" t="s">
        <v>40</v>
      </c>
      <c r="D722" t="s">
        <v>1513</v>
      </c>
      <c r="E722" t="s">
        <v>1514</v>
      </c>
      <c r="F722" s="4"/>
      <c r="G722" t="s">
        <v>1515</v>
      </c>
      <c r="I722" t="s">
        <v>22</v>
      </c>
      <c r="N722" t="s">
        <v>1516</v>
      </c>
      <c r="O722" s="15">
        <v>1000</v>
      </c>
      <c r="P722" s="38">
        <f>O722-O722*0.17</f>
        <v>830</v>
      </c>
      <c r="Q722" s="45">
        <f>P722/O722</f>
        <v>0.83</v>
      </c>
    </row>
    <row r="723" spans="1:21" ht="14.5" x14ac:dyDescent="0.35">
      <c r="A723" t="s">
        <v>657</v>
      </c>
      <c r="B723" t="s">
        <v>40</v>
      </c>
      <c r="D723" t="s">
        <v>1517</v>
      </c>
      <c r="E723" t="s">
        <v>1518</v>
      </c>
      <c r="F723" s="4">
        <v>46278</v>
      </c>
      <c r="G723" t="s">
        <v>3</v>
      </c>
      <c r="I723" t="s">
        <v>302</v>
      </c>
      <c r="O723" s="15">
        <v>1000</v>
      </c>
      <c r="P723" s="38">
        <f>O723-O723*0.17</f>
        <v>830</v>
      </c>
      <c r="Q723" s="45">
        <f>P723/O723</f>
        <v>0.83</v>
      </c>
      <c r="U723" t="s">
        <v>1517</v>
      </c>
    </row>
    <row r="724" spans="1:21" ht="14.5" x14ac:dyDescent="0.35">
      <c r="A724" t="s">
        <v>98</v>
      </c>
      <c r="B724" t="s">
        <v>40</v>
      </c>
      <c r="D724" t="s">
        <v>734</v>
      </c>
      <c r="E724" t="s">
        <v>1519</v>
      </c>
      <c r="F724" s="4"/>
      <c r="I724" t="s">
        <v>956</v>
      </c>
      <c r="O724" s="15">
        <v>1000</v>
      </c>
      <c r="P724" s="38">
        <f>O724-O724*0.17</f>
        <v>830</v>
      </c>
      <c r="Q724" s="45">
        <f>P724/O724</f>
        <v>0.83</v>
      </c>
    </row>
    <row r="725" spans="1:21" ht="14.5" x14ac:dyDescent="0.35">
      <c r="A725" t="s">
        <v>581</v>
      </c>
      <c r="B725" t="s">
        <v>40</v>
      </c>
      <c r="D725" t="s">
        <v>2091</v>
      </c>
      <c r="E725" t="s">
        <v>2092</v>
      </c>
      <c r="F725" s="4">
        <v>46130</v>
      </c>
      <c r="G725" t="s">
        <v>3</v>
      </c>
      <c r="I725" t="s">
        <v>22</v>
      </c>
      <c r="K725">
        <v>247</v>
      </c>
      <c r="L725">
        <v>533</v>
      </c>
      <c r="P725" s="38">
        <f>SUM(K725:L725)</f>
        <v>780</v>
      </c>
      <c r="Q725" s="45" t="e">
        <f>P725/O725</f>
        <v>#DIV/0!</v>
      </c>
    </row>
    <row r="726" spans="1:21" ht="14.5" x14ac:dyDescent="0.35">
      <c r="A726" t="s">
        <v>2204</v>
      </c>
      <c r="B726" t="s">
        <v>25</v>
      </c>
      <c r="D726" t="s">
        <v>2204</v>
      </c>
      <c r="E726" t="s">
        <v>2205</v>
      </c>
      <c r="F726" s="4">
        <v>46362</v>
      </c>
      <c r="G726" t="s">
        <v>2206</v>
      </c>
      <c r="I726" t="s">
        <v>22</v>
      </c>
      <c r="P726" s="38">
        <f>91+134+162+391</f>
        <v>778</v>
      </c>
      <c r="Q726" s="45" t="e">
        <f>P726/O726</f>
        <v>#DIV/0!</v>
      </c>
    </row>
    <row r="727" spans="1:21" ht="14.5" x14ac:dyDescent="0.35">
      <c r="A727" t="s">
        <v>421</v>
      </c>
      <c r="B727" t="s">
        <v>201</v>
      </c>
      <c r="D727" t="s">
        <v>2217</v>
      </c>
      <c r="E727" t="s">
        <v>2218</v>
      </c>
      <c r="I727" t="s">
        <v>22</v>
      </c>
      <c r="K727">
        <v>430</v>
      </c>
      <c r="L727">
        <v>163</v>
      </c>
      <c r="M727">
        <v>149</v>
      </c>
      <c r="P727" s="38">
        <f>SUM(K727:M727)</f>
        <v>742</v>
      </c>
      <c r="Q727" s="45" t="e">
        <f>P727/O727</f>
        <v>#DIV/0!</v>
      </c>
    </row>
    <row r="728" spans="1:21" ht="14.5" x14ac:dyDescent="0.35">
      <c r="A728" s="34" t="s">
        <v>44</v>
      </c>
      <c r="B728" s="34" t="s">
        <v>40</v>
      </c>
      <c r="C728" s="34" t="s">
        <v>2318</v>
      </c>
      <c r="D728" s="34" t="s">
        <v>45</v>
      </c>
      <c r="E728" s="34" t="s">
        <v>1881</v>
      </c>
      <c r="F728" s="35">
        <v>46328</v>
      </c>
      <c r="G728" s="34" t="s">
        <v>1882</v>
      </c>
      <c r="H728" s="34" t="s">
        <v>1775</v>
      </c>
      <c r="I728" s="34" t="s">
        <v>22</v>
      </c>
      <c r="J728" s="36"/>
      <c r="K728" s="36"/>
      <c r="L728" s="36"/>
      <c r="M728" s="36"/>
      <c r="N728" s="34" t="s">
        <v>1883</v>
      </c>
      <c r="O728" s="36">
        <v>8400</v>
      </c>
      <c r="P728" s="36">
        <f>147*5</f>
        <v>735</v>
      </c>
      <c r="Q728" s="45">
        <f>P728/O728</f>
        <v>8.7499999999999994E-2</v>
      </c>
      <c r="R728" s="38"/>
      <c r="S728" s="39"/>
      <c r="T728" s="34"/>
      <c r="U728" s="34"/>
    </row>
    <row r="729" spans="1:21" ht="14.5" x14ac:dyDescent="0.35">
      <c r="A729" t="s">
        <v>1527</v>
      </c>
      <c r="B729" t="s">
        <v>201</v>
      </c>
      <c r="D729" t="s">
        <v>2279</v>
      </c>
      <c r="E729" t="s">
        <v>2280</v>
      </c>
      <c r="F729" s="4">
        <v>46375</v>
      </c>
      <c r="G729" t="s">
        <v>38</v>
      </c>
      <c r="I729" t="s">
        <v>22</v>
      </c>
      <c r="P729" s="38">
        <v>518</v>
      </c>
      <c r="Q729" s="45" t="e">
        <f>P729/O729</f>
        <v>#DIV/0!</v>
      </c>
      <c r="U729" t="s">
        <v>2266</v>
      </c>
    </row>
    <row r="730" spans="1:21" ht="14.5" x14ac:dyDescent="0.35">
      <c r="A730" t="s">
        <v>1527</v>
      </c>
      <c r="B730" t="s">
        <v>201</v>
      </c>
      <c r="D730" t="s">
        <v>2264</v>
      </c>
      <c r="E730" t="s">
        <v>2275</v>
      </c>
      <c r="F730" s="4">
        <v>46312</v>
      </c>
      <c r="G730" t="s">
        <v>38</v>
      </c>
      <c r="I730" t="s">
        <v>22</v>
      </c>
      <c r="L730" t="s">
        <v>35</v>
      </c>
      <c r="M730" t="s">
        <v>35</v>
      </c>
      <c r="P730" s="38">
        <v>507</v>
      </c>
      <c r="Q730" s="45" t="e">
        <f>P730/O730</f>
        <v>#DIV/0!</v>
      </c>
      <c r="U730" t="s">
        <v>2266</v>
      </c>
    </row>
    <row r="731" spans="1:21" ht="14.5" x14ac:dyDescent="0.35">
      <c r="A731" t="s">
        <v>66</v>
      </c>
      <c r="B731" t="s">
        <v>40</v>
      </c>
      <c r="D731" t="s">
        <v>1975</v>
      </c>
      <c r="E731" t="s">
        <v>1976</v>
      </c>
      <c r="F731" s="4">
        <v>46123</v>
      </c>
      <c r="I731" t="s">
        <v>22</v>
      </c>
      <c r="J731" t="s">
        <v>35</v>
      </c>
      <c r="K731" t="s">
        <v>35</v>
      </c>
      <c r="L731" t="s">
        <v>35</v>
      </c>
      <c r="M731" t="s">
        <v>35</v>
      </c>
      <c r="P731" s="38">
        <f>69+54+210+163</f>
        <v>496</v>
      </c>
      <c r="Q731" s="45" t="e">
        <f>P731/O731</f>
        <v>#DIV/0!</v>
      </c>
    </row>
    <row r="732" spans="1:21" ht="14.5" x14ac:dyDescent="0.35">
      <c r="A732" t="s">
        <v>338</v>
      </c>
      <c r="B732" t="s">
        <v>40</v>
      </c>
      <c r="D732" t="s">
        <v>1034</v>
      </c>
      <c r="E732" t="s">
        <v>2174</v>
      </c>
      <c r="F732" s="4">
        <v>46263</v>
      </c>
      <c r="I732" t="s">
        <v>22</v>
      </c>
      <c r="J732" t="s">
        <v>35</v>
      </c>
      <c r="P732" s="38">
        <v>464</v>
      </c>
      <c r="Q732" s="45" t="e">
        <f>P732/O732</f>
        <v>#DIV/0!</v>
      </c>
    </row>
    <row r="733" spans="1:21" ht="14.5" x14ac:dyDescent="0.35">
      <c r="A733" s="34" t="s">
        <v>44</v>
      </c>
      <c r="B733" s="34" t="s">
        <v>40</v>
      </c>
      <c r="C733" s="34" t="s">
        <v>496</v>
      </c>
      <c r="D733" s="34" t="s">
        <v>496</v>
      </c>
      <c r="E733" s="34" t="s">
        <v>1868</v>
      </c>
      <c r="F733" s="35">
        <v>46299</v>
      </c>
      <c r="G733" s="34" t="s">
        <v>38</v>
      </c>
      <c r="H733" s="34" t="s">
        <v>1775</v>
      </c>
      <c r="I733" s="34" t="s">
        <v>22</v>
      </c>
      <c r="J733" s="36"/>
      <c r="K733" s="36"/>
      <c r="L733" s="36"/>
      <c r="M733" s="36"/>
      <c r="N733" s="34"/>
      <c r="O733" s="36">
        <v>9300</v>
      </c>
      <c r="P733" s="36">
        <f>115*4</f>
        <v>460</v>
      </c>
      <c r="Q733" s="45">
        <f>P733/O733</f>
        <v>4.9462365591397849E-2</v>
      </c>
      <c r="R733" s="38"/>
      <c r="S733" s="39"/>
      <c r="T733" s="34"/>
      <c r="U733" s="34"/>
    </row>
    <row r="734" spans="1:21" ht="14.5" x14ac:dyDescent="0.35">
      <c r="A734" s="34" t="s">
        <v>44</v>
      </c>
      <c r="B734" s="34" t="s">
        <v>40</v>
      </c>
      <c r="C734" s="34" t="s">
        <v>496</v>
      </c>
      <c r="D734" s="34" t="s">
        <v>496</v>
      </c>
      <c r="E734" s="34" t="s">
        <v>1949</v>
      </c>
      <c r="F734" s="35">
        <v>46306</v>
      </c>
      <c r="G734" s="34" t="s">
        <v>1784</v>
      </c>
      <c r="H734" s="34" t="s">
        <v>1775</v>
      </c>
      <c r="I734" t="s">
        <v>488</v>
      </c>
      <c r="J734" s="36"/>
      <c r="K734" s="36"/>
      <c r="L734" s="36"/>
      <c r="M734" s="36"/>
      <c r="N734" s="34"/>
      <c r="O734" s="36">
        <v>5000</v>
      </c>
      <c r="P734" s="36">
        <f>235+221</f>
        <v>456</v>
      </c>
      <c r="Q734" s="45">
        <f>P734/O734</f>
        <v>9.1200000000000003E-2</v>
      </c>
      <c r="R734" s="36"/>
      <c r="S734" s="37"/>
      <c r="T734" s="34"/>
      <c r="U734" s="34"/>
    </row>
    <row r="735" spans="1:21" ht="14.5" x14ac:dyDescent="0.35">
      <c r="A735" t="s">
        <v>1527</v>
      </c>
      <c r="B735" t="s">
        <v>201</v>
      </c>
      <c r="D735" t="s">
        <v>2272</v>
      </c>
      <c r="E735" t="s">
        <v>2273</v>
      </c>
      <c r="F735" s="4">
        <v>46108</v>
      </c>
      <c r="G735" t="s">
        <v>38</v>
      </c>
      <c r="I735" t="s">
        <v>22</v>
      </c>
      <c r="L735" t="s">
        <v>35</v>
      </c>
      <c r="P735" s="38">
        <v>429</v>
      </c>
      <c r="Q735" s="45" t="e">
        <f>P735/O735</f>
        <v>#DIV/0!</v>
      </c>
      <c r="U735" t="s">
        <v>2266</v>
      </c>
    </row>
    <row r="736" spans="1:21" ht="14.5" x14ac:dyDescent="0.35">
      <c r="A736" t="s">
        <v>66</v>
      </c>
      <c r="B736" t="s">
        <v>40</v>
      </c>
      <c r="D736" t="s">
        <v>1981</v>
      </c>
      <c r="E736" t="s">
        <v>1982</v>
      </c>
      <c r="G736" t="s">
        <v>38</v>
      </c>
      <c r="I736" t="s">
        <v>22</v>
      </c>
      <c r="J736" t="s">
        <v>35</v>
      </c>
      <c r="K736" t="s">
        <v>35</v>
      </c>
      <c r="N736" t="s">
        <v>1983</v>
      </c>
      <c r="P736" s="38">
        <f>64+206+156</f>
        <v>426</v>
      </c>
      <c r="Q736" s="45" t="e">
        <f>P736/O736</f>
        <v>#DIV/0!</v>
      </c>
    </row>
    <row r="737" spans="1:21" ht="14.5" x14ac:dyDescent="0.35">
      <c r="A737" t="s">
        <v>24</v>
      </c>
      <c r="B737" t="s">
        <v>25</v>
      </c>
      <c r="D737" s="16" t="s">
        <v>1530</v>
      </c>
      <c r="E737" s="16" t="s">
        <v>1531</v>
      </c>
      <c r="F737" s="17">
        <v>46054</v>
      </c>
      <c r="G737" s="28" t="s">
        <v>38</v>
      </c>
      <c r="I737" t="s">
        <v>22</v>
      </c>
      <c r="K737" t="s">
        <v>35</v>
      </c>
      <c r="L737" t="s">
        <v>35</v>
      </c>
      <c r="M737" t="s">
        <v>35</v>
      </c>
      <c r="O737" s="15">
        <v>500</v>
      </c>
      <c r="P737" s="38">
        <f>O737-O737*0.17</f>
        <v>415</v>
      </c>
      <c r="Q737" s="45">
        <f>P737/O737</f>
        <v>0.83</v>
      </c>
    </row>
    <row r="738" spans="1:21" ht="14.5" x14ac:dyDescent="0.35">
      <c r="A738" t="s">
        <v>1527</v>
      </c>
      <c r="B738" t="s">
        <v>201</v>
      </c>
      <c r="D738" t="s">
        <v>2264</v>
      </c>
      <c r="E738" t="s">
        <v>2274</v>
      </c>
      <c r="F738" s="4">
        <v>46284</v>
      </c>
      <c r="G738" t="s">
        <v>38</v>
      </c>
      <c r="I738" t="s">
        <v>22</v>
      </c>
      <c r="N738">
        <v>3</v>
      </c>
      <c r="P738" s="38">
        <v>373</v>
      </c>
      <c r="Q738" s="45" t="e">
        <f>P738/O738</f>
        <v>#DIV/0!</v>
      </c>
      <c r="U738" t="s">
        <v>2266</v>
      </c>
    </row>
    <row r="739" spans="1:21" ht="14.5" x14ac:dyDescent="0.35">
      <c r="A739" t="s">
        <v>39</v>
      </c>
      <c r="B739" t="s">
        <v>40</v>
      </c>
      <c r="D739" t="s">
        <v>2161</v>
      </c>
      <c r="E739" t="s">
        <v>2162</v>
      </c>
      <c r="F739" s="4">
        <v>46333</v>
      </c>
      <c r="G739" t="s">
        <v>2163</v>
      </c>
      <c r="I739" t="s">
        <v>1141</v>
      </c>
      <c r="N739" t="s">
        <v>905</v>
      </c>
      <c r="P739" s="38">
        <f>197+164</f>
        <v>361</v>
      </c>
      <c r="Q739" s="45" t="e">
        <f>P739/O739</f>
        <v>#DIV/0!</v>
      </c>
    </row>
    <row r="740" spans="1:21" ht="14.5" x14ac:dyDescent="0.35">
      <c r="A740" t="s">
        <v>181</v>
      </c>
      <c r="B740" t="s">
        <v>40</v>
      </c>
      <c r="D740" t="s">
        <v>2019</v>
      </c>
      <c r="E740" t="s">
        <v>2020</v>
      </c>
      <c r="F740" s="4">
        <v>46122</v>
      </c>
      <c r="G740" t="s">
        <v>2021</v>
      </c>
      <c r="H740" t="s">
        <v>1775</v>
      </c>
      <c r="I740" t="s">
        <v>22</v>
      </c>
      <c r="J740" t="s">
        <v>35</v>
      </c>
      <c r="K740" t="s">
        <v>35</v>
      </c>
      <c r="P740" s="38">
        <f>114+123+92</f>
        <v>329</v>
      </c>
      <c r="Q740" s="45" t="e">
        <f>P740/O740</f>
        <v>#DIV/0!</v>
      </c>
    </row>
    <row r="741" spans="1:21" ht="14.5" x14ac:dyDescent="0.35">
      <c r="A741" t="s">
        <v>1527</v>
      </c>
      <c r="B741" t="s">
        <v>201</v>
      </c>
      <c r="D741" t="s">
        <v>2270</v>
      </c>
      <c r="E741" t="s">
        <v>2271</v>
      </c>
      <c r="G741" t="s">
        <v>38</v>
      </c>
      <c r="I741" t="s">
        <v>22</v>
      </c>
      <c r="J741" t="s">
        <v>35</v>
      </c>
      <c r="P741" s="38">
        <f>268</f>
        <v>268</v>
      </c>
      <c r="Q741" s="45" t="e">
        <f>P741/O741</f>
        <v>#DIV/0!</v>
      </c>
      <c r="U741" t="s">
        <v>2266</v>
      </c>
    </row>
    <row r="742" spans="1:21" ht="14.5" x14ac:dyDescent="0.35">
      <c r="A742" t="s">
        <v>1527</v>
      </c>
      <c r="B742" t="s">
        <v>201</v>
      </c>
      <c r="D742" t="s">
        <v>2277</v>
      </c>
      <c r="E742" t="s">
        <v>2278</v>
      </c>
      <c r="F742" s="4">
        <v>46059</v>
      </c>
      <c r="G742" t="s">
        <v>38</v>
      </c>
      <c r="I742" t="s">
        <v>718</v>
      </c>
      <c r="P742" s="38">
        <v>238</v>
      </c>
      <c r="Q742" s="45" t="e">
        <f>P742/O742</f>
        <v>#DIV/0!</v>
      </c>
      <c r="U742" t="s">
        <v>2266</v>
      </c>
    </row>
    <row r="743" spans="1:21" ht="14.5" x14ac:dyDescent="0.35">
      <c r="A743" t="s">
        <v>1527</v>
      </c>
      <c r="B743" t="s">
        <v>201</v>
      </c>
      <c r="D743" t="s">
        <v>2264</v>
      </c>
      <c r="E743" t="s">
        <v>2276</v>
      </c>
      <c r="F743" s="4">
        <v>46347</v>
      </c>
      <c r="G743" t="s">
        <v>38</v>
      </c>
      <c r="I743" t="s">
        <v>22</v>
      </c>
      <c r="N743">
        <v>30</v>
      </c>
      <c r="P743" s="38">
        <v>168</v>
      </c>
      <c r="Q743" s="45" t="e">
        <f>P743/O743</f>
        <v>#DIV/0!</v>
      </c>
      <c r="U743" t="s">
        <v>2266</v>
      </c>
    </row>
    <row r="744" spans="1:21" ht="14.5" x14ac:dyDescent="0.35">
      <c r="A744" t="s">
        <v>66</v>
      </c>
      <c r="B744" t="s">
        <v>40</v>
      </c>
      <c r="D744" t="s">
        <v>1990</v>
      </c>
      <c r="E744" t="s">
        <v>1991</v>
      </c>
      <c r="F744" s="4">
        <v>46176</v>
      </c>
      <c r="I744" t="s">
        <v>22</v>
      </c>
      <c r="J744" t="s">
        <v>35</v>
      </c>
      <c r="K744" t="s">
        <v>35</v>
      </c>
      <c r="L744" t="s">
        <v>35</v>
      </c>
      <c r="N744" t="s">
        <v>495</v>
      </c>
      <c r="P744" s="38">
        <f>45+10+8</f>
        <v>63</v>
      </c>
      <c r="Q744" s="45" t="e">
        <f>P744/O744</f>
        <v>#DIV/0!</v>
      </c>
    </row>
    <row r="745" spans="1:21" ht="14.5" x14ac:dyDescent="0.35">
      <c r="A745" t="s">
        <v>24</v>
      </c>
      <c r="B745" t="s">
        <v>25</v>
      </c>
      <c r="D745" s="19" t="s">
        <v>1617</v>
      </c>
      <c r="E745" s="16" t="s">
        <v>1618</v>
      </c>
      <c r="F745" s="17">
        <v>46054</v>
      </c>
      <c r="G745" s="28" t="s">
        <v>1619</v>
      </c>
      <c r="I745" t="s">
        <v>22</v>
      </c>
      <c r="K745" t="s">
        <v>35</v>
      </c>
      <c r="L745" t="s">
        <v>35</v>
      </c>
      <c r="M745" t="s">
        <v>35</v>
      </c>
      <c r="N745" t="s">
        <v>1620</v>
      </c>
      <c r="P745" s="38">
        <f>O745-O745*0.17</f>
        <v>0</v>
      </c>
      <c r="Q745" s="45" t="e">
        <f>P745/O745</f>
        <v>#DIV/0!</v>
      </c>
    </row>
    <row r="746" spans="1:21" ht="14.5" x14ac:dyDescent="0.35">
      <c r="A746" t="s">
        <v>24</v>
      </c>
      <c r="B746" t="s">
        <v>25</v>
      </c>
      <c r="D746" s="19" t="s">
        <v>26</v>
      </c>
      <c r="E746" s="16" t="s">
        <v>1634</v>
      </c>
      <c r="F746" s="17">
        <v>46089</v>
      </c>
      <c r="G746" s="28" t="s">
        <v>1619</v>
      </c>
      <c r="I746" t="s">
        <v>22</v>
      </c>
      <c r="L746" t="s">
        <v>35</v>
      </c>
      <c r="M746" t="s">
        <v>35</v>
      </c>
      <c r="P746" s="38">
        <f>O746-O746*0.17</f>
        <v>0</v>
      </c>
      <c r="Q746" s="45" t="e">
        <f>P746/O746</f>
        <v>#DIV/0!</v>
      </c>
    </row>
    <row r="747" spans="1:21" ht="14.5" x14ac:dyDescent="0.35">
      <c r="A747" t="s">
        <v>24</v>
      </c>
      <c r="B747" t="s">
        <v>25</v>
      </c>
      <c r="D747" s="19" t="s">
        <v>26</v>
      </c>
      <c r="E747" s="16" t="s">
        <v>1675</v>
      </c>
      <c r="F747" s="17">
        <v>46194</v>
      </c>
      <c r="G747" s="28" t="s">
        <v>1619</v>
      </c>
      <c r="I747" t="s">
        <v>22</v>
      </c>
      <c r="L747" t="s">
        <v>35</v>
      </c>
      <c r="P747" s="38">
        <f>O747-O747*0.17</f>
        <v>0</v>
      </c>
      <c r="Q747" s="45" t="e">
        <f>P747/O747</f>
        <v>#DIV/0!</v>
      </c>
    </row>
    <row r="748" spans="1:21" ht="14.5" x14ac:dyDescent="0.35">
      <c r="A748" t="s">
        <v>24</v>
      </c>
      <c r="B748" t="s">
        <v>25</v>
      </c>
      <c r="D748" s="19" t="s">
        <v>1728</v>
      </c>
      <c r="E748" s="16" t="s">
        <v>1729</v>
      </c>
      <c r="F748" s="17">
        <v>46341</v>
      </c>
      <c r="G748" s="28" t="s">
        <v>1619</v>
      </c>
      <c r="I748" t="s">
        <v>22</v>
      </c>
      <c r="J748" t="s">
        <v>35</v>
      </c>
      <c r="K748" t="s">
        <v>35</v>
      </c>
      <c r="L748" t="s">
        <v>35</v>
      </c>
      <c r="M748" t="s">
        <v>35</v>
      </c>
      <c r="P748" s="38">
        <f>O748-O748*0.17</f>
        <v>0</v>
      </c>
      <c r="Q748" s="45" t="e">
        <f>P748/O748</f>
        <v>#DIV/0!</v>
      </c>
    </row>
    <row r="749" spans="1:21" ht="14.5" x14ac:dyDescent="0.35">
      <c r="A749" t="s">
        <v>24</v>
      </c>
      <c r="B749" t="s">
        <v>25</v>
      </c>
      <c r="D749" s="16" t="s">
        <v>26</v>
      </c>
      <c r="E749" s="16" t="s">
        <v>1687</v>
      </c>
      <c r="F749" s="17">
        <v>45879</v>
      </c>
      <c r="G749" s="28" t="s">
        <v>1688</v>
      </c>
      <c r="I749" t="s">
        <v>22</v>
      </c>
      <c r="K749" t="s">
        <v>35</v>
      </c>
      <c r="L749" t="s">
        <v>35</v>
      </c>
      <c r="N749">
        <v>2</v>
      </c>
      <c r="P749" s="38">
        <f>O749-O749*0.17</f>
        <v>0</v>
      </c>
      <c r="Q749" s="45" t="e">
        <f>P749/O749</f>
        <v>#DIV/0!</v>
      </c>
    </row>
    <row r="750" spans="1:21" ht="14.5" x14ac:dyDescent="0.35">
      <c r="A750" t="s">
        <v>124</v>
      </c>
      <c r="B750" t="s">
        <v>40</v>
      </c>
      <c r="D750" t="s">
        <v>2069</v>
      </c>
      <c r="E750" t="s">
        <v>2070</v>
      </c>
      <c r="F750" s="4">
        <v>46292</v>
      </c>
      <c r="G750" t="s">
        <v>2071</v>
      </c>
      <c r="I750" t="s">
        <v>22</v>
      </c>
      <c r="K750" t="s">
        <v>35</v>
      </c>
      <c r="M750" t="s">
        <v>35</v>
      </c>
      <c r="N750" t="s">
        <v>495</v>
      </c>
      <c r="P750" s="38">
        <f>O750-O750*0.17</f>
        <v>0</v>
      </c>
      <c r="Q750" s="45" t="e">
        <f>P750/O750</f>
        <v>#DIV/0!</v>
      </c>
    </row>
    <row r="751" spans="1:21" ht="14.5" x14ac:dyDescent="0.35">
      <c r="A751" t="s">
        <v>24</v>
      </c>
      <c r="B751" t="s">
        <v>25</v>
      </c>
      <c r="D751" s="16" t="s">
        <v>595</v>
      </c>
      <c r="E751" s="16" t="s">
        <v>1614</v>
      </c>
      <c r="F751" s="17">
        <v>46040</v>
      </c>
      <c r="G751" s="28" t="s">
        <v>38</v>
      </c>
      <c r="I751" t="s">
        <v>22</v>
      </c>
      <c r="K751" t="s">
        <v>35</v>
      </c>
      <c r="L751" t="s">
        <v>35</v>
      </c>
      <c r="M751" t="s">
        <v>35</v>
      </c>
      <c r="P751" s="38">
        <f>O751-O751*0.17</f>
        <v>0</v>
      </c>
      <c r="Q751" s="45" t="e">
        <f>P751/O751</f>
        <v>#DIV/0!</v>
      </c>
    </row>
    <row r="752" spans="1:21" ht="14.5" x14ac:dyDescent="0.35">
      <c r="A752" t="s">
        <v>24</v>
      </c>
      <c r="B752" t="s">
        <v>25</v>
      </c>
      <c r="D752" s="16" t="s">
        <v>638</v>
      </c>
      <c r="E752" s="16" t="s">
        <v>1624</v>
      </c>
      <c r="F752" s="17">
        <v>46061</v>
      </c>
      <c r="G752" s="28" t="s">
        <v>38</v>
      </c>
      <c r="I752" t="s">
        <v>22</v>
      </c>
      <c r="K752" t="s">
        <v>35</v>
      </c>
      <c r="L752" t="s">
        <v>35</v>
      </c>
      <c r="M752" t="s">
        <v>35</v>
      </c>
      <c r="P752" s="38">
        <f>O752-O752*0.17</f>
        <v>0</v>
      </c>
      <c r="Q752" s="45" t="e">
        <f>P752/O752</f>
        <v>#DIV/0!</v>
      </c>
    </row>
    <row r="753" spans="1:17" ht="14.5" x14ac:dyDescent="0.35">
      <c r="A753" t="s">
        <v>24</v>
      </c>
      <c r="B753" t="s">
        <v>25</v>
      </c>
      <c r="D753" s="16" t="s">
        <v>26</v>
      </c>
      <c r="E753" s="16" t="s">
        <v>1636</v>
      </c>
      <c r="F753" s="17">
        <v>46096</v>
      </c>
      <c r="G753" s="28" t="s">
        <v>38</v>
      </c>
      <c r="I753" t="s">
        <v>22</v>
      </c>
      <c r="L753" t="s">
        <v>35</v>
      </c>
      <c r="M753" t="s">
        <v>35</v>
      </c>
      <c r="N753">
        <v>3</v>
      </c>
      <c r="P753" s="38">
        <f>O753-O753*0.17</f>
        <v>0</v>
      </c>
      <c r="Q753" s="45" t="e">
        <f>P753/O753</f>
        <v>#DIV/0!</v>
      </c>
    </row>
    <row r="754" spans="1:17" ht="14.5" x14ac:dyDescent="0.35">
      <c r="A754" t="s">
        <v>24</v>
      </c>
      <c r="B754" t="s">
        <v>25</v>
      </c>
      <c r="D754" s="16" t="s">
        <v>1643</v>
      </c>
      <c r="E754" s="16" t="s">
        <v>1644</v>
      </c>
      <c r="F754" s="17">
        <v>45739</v>
      </c>
      <c r="G754" s="28" t="s">
        <v>38</v>
      </c>
      <c r="I754" t="s">
        <v>22</v>
      </c>
      <c r="K754" t="s">
        <v>35</v>
      </c>
      <c r="L754" t="s">
        <v>35</v>
      </c>
      <c r="M754" t="s">
        <v>35</v>
      </c>
      <c r="N754">
        <v>3</v>
      </c>
      <c r="P754" s="38">
        <f>O754-O754*0.17</f>
        <v>0</v>
      </c>
      <c r="Q754" s="45" t="e">
        <f>P754/O754</f>
        <v>#DIV/0!</v>
      </c>
    </row>
    <row r="755" spans="1:17" ht="14.5" x14ac:dyDescent="0.35">
      <c r="A755" t="s">
        <v>24</v>
      </c>
      <c r="B755" t="s">
        <v>25</v>
      </c>
      <c r="D755" s="16" t="s">
        <v>1648</v>
      </c>
      <c r="E755" s="16" t="s">
        <v>1649</v>
      </c>
      <c r="F755" s="17">
        <v>46117</v>
      </c>
      <c r="G755" s="28" t="s">
        <v>38</v>
      </c>
      <c r="I755" t="s">
        <v>22</v>
      </c>
      <c r="K755" t="s">
        <v>35</v>
      </c>
      <c r="L755" t="s">
        <v>35</v>
      </c>
      <c r="M755" t="s">
        <v>35</v>
      </c>
      <c r="N755">
        <v>3</v>
      </c>
      <c r="P755" s="38">
        <f>O755-O755*0.17</f>
        <v>0</v>
      </c>
      <c r="Q755" s="45" t="e">
        <f>P755/O755</f>
        <v>#DIV/0!</v>
      </c>
    </row>
    <row r="756" spans="1:17" ht="14.5" x14ac:dyDescent="0.35">
      <c r="A756" t="s">
        <v>24</v>
      </c>
      <c r="B756" t="s">
        <v>25</v>
      </c>
      <c r="D756" s="16" t="s">
        <v>638</v>
      </c>
      <c r="E756" s="16" t="s">
        <v>1650</v>
      </c>
      <c r="F756" s="17">
        <v>46123</v>
      </c>
      <c r="G756" s="28" t="s">
        <v>38</v>
      </c>
      <c r="I756" t="s">
        <v>22</v>
      </c>
      <c r="K756" t="s">
        <v>35</v>
      </c>
      <c r="L756" t="s">
        <v>35</v>
      </c>
      <c r="M756" t="s">
        <v>35</v>
      </c>
      <c r="N756" t="s">
        <v>1651</v>
      </c>
      <c r="P756" s="38">
        <f>O756-O756*0.17</f>
        <v>0</v>
      </c>
      <c r="Q756" s="45" t="e">
        <f>P756/O756</f>
        <v>#DIV/0!</v>
      </c>
    </row>
    <row r="757" spans="1:17" ht="14.5" x14ac:dyDescent="0.35">
      <c r="A757" t="s">
        <v>24</v>
      </c>
      <c r="B757" t="s">
        <v>25</v>
      </c>
      <c r="D757" s="16" t="s">
        <v>638</v>
      </c>
      <c r="E757" s="16" t="s">
        <v>1668</v>
      </c>
      <c r="F757" s="17">
        <v>46152</v>
      </c>
      <c r="G757" s="28" t="s">
        <v>38</v>
      </c>
      <c r="I757" t="s">
        <v>22</v>
      </c>
      <c r="K757" t="s">
        <v>35</v>
      </c>
      <c r="L757" t="s">
        <v>35</v>
      </c>
      <c r="M757" t="s">
        <v>35</v>
      </c>
      <c r="N757">
        <v>3</v>
      </c>
      <c r="P757" s="38">
        <f>O757-O757*0.17</f>
        <v>0</v>
      </c>
      <c r="Q757" s="45" t="e">
        <f>P757/O757</f>
        <v>#DIV/0!</v>
      </c>
    </row>
    <row r="758" spans="1:17" ht="14.5" x14ac:dyDescent="0.35">
      <c r="A758" t="s">
        <v>24</v>
      </c>
      <c r="B758" t="s">
        <v>25</v>
      </c>
      <c r="D758" s="16" t="s">
        <v>1689</v>
      </c>
      <c r="E758" s="16" t="s">
        <v>1690</v>
      </c>
      <c r="F758" s="17">
        <v>45886</v>
      </c>
      <c r="G758" s="28" t="s">
        <v>38</v>
      </c>
      <c r="I758" t="s">
        <v>22</v>
      </c>
      <c r="K758" t="s">
        <v>35</v>
      </c>
      <c r="P758" s="38">
        <f>O758-O758*0.17</f>
        <v>0</v>
      </c>
      <c r="Q758" s="45" t="e">
        <f>P758/O758</f>
        <v>#DIV/0!</v>
      </c>
    </row>
    <row r="759" spans="1:17" ht="14.5" x14ac:dyDescent="0.35">
      <c r="A759" t="s">
        <v>24</v>
      </c>
      <c r="B759" t="s">
        <v>25</v>
      </c>
      <c r="D759" s="16" t="s">
        <v>695</v>
      </c>
      <c r="E759" s="16" t="s">
        <v>1692</v>
      </c>
      <c r="F759" s="17">
        <v>45886</v>
      </c>
      <c r="G759" s="28" t="s">
        <v>38</v>
      </c>
      <c r="I759" t="s">
        <v>22</v>
      </c>
      <c r="K759" t="s">
        <v>35</v>
      </c>
      <c r="L759" t="s">
        <v>35</v>
      </c>
      <c r="M759" t="s">
        <v>35</v>
      </c>
      <c r="P759" s="38">
        <f>O759-O759*0.17</f>
        <v>0</v>
      </c>
      <c r="Q759" s="45" t="e">
        <f>P759/O759</f>
        <v>#DIV/0!</v>
      </c>
    </row>
    <row r="760" spans="1:17" ht="14.5" x14ac:dyDescent="0.35">
      <c r="A760" t="s">
        <v>24</v>
      </c>
      <c r="B760" t="s">
        <v>25</v>
      </c>
      <c r="D760" s="16" t="s">
        <v>1057</v>
      </c>
      <c r="E760" s="16" t="s">
        <v>1696</v>
      </c>
      <c r="F760" s="17">
        <v>46264</v>
      </c>
      <c r="G760" s="28" t="s">
        <v>38</v>
      </c>
      <c r="I760" t="s">
        <v>22</v>
      </c>
      <c r="J760" t="s">
        <v>35</v>
      </c>
      <c r="K760" t="s">
        <v>35</v>
      </c>
      <c r="L760" t="s">
        <v>35</v>
      </c>
      <c r="M760" t="s">
        <v>35</v>
      </c>
      <c r="P760" s="38">
        <f>O760-O760*0.17</f>
        <v>0</v>
      </c>
      <c r="Q760" s="45" t="e">
        <f>P760/O760</f>
        <v>#DIV/0!</v>
      </c>
    </row>
    <row r="761" spans="1:17" ht="14.5" x14ac:dyDescent="0.35">
      <c r="A761" t="s">
        <v>24</v>
      </c>
      <c r="B761" t="s">
        <v>25</v>
      </c>
      <c r="D761" s="16" t="s">
        <v>1698</v>
      </c>
      <c r="E761" s="16" t="s">
        <v>1699</v>
      </c>
      <c r="F761" s="17">
        <v>46271</v>
      </c>
      <c r="G761" s="28" t="s">
        <v>38</v>
      </c>
      <c r="I761" t="s">
        <v>22</v>
      </c>
      <c r="K761" t="s">
        <v>35</v>
      </c>
      <c r="P761" s="38">
        <f>O761-O761*0.17</f>
        <v>0</v>
      </c>
      <c r="Q761" s="45" t="e">
        <f>P761/O761</f>
        <v>#DIV/0!</v>
      </c>
    </row>
    <row r="762" spans="1:17" ht="14.5" x14ac:dyDescent="0.35">
      <c r="A762" t="s">
        <v>24</v>
      </c>
      <c r="B762" t="s">
        <v>25</v>
      </c>
      <c r="D762" s="16" t="s">
        <v>1702</v>
      </c>
      <c r="E762" s="16" t="s">
        <v>1703</v>
      </c>
      <c r="F762" s="17">
        <v>45914</v>
      </c>
      <c r="G762" s="28" t="s">
        <v>38</v>
      </c>
      <c r="I762" t="s">
        <v>22</v>
      </c>
      <c r="P762" s="38">
        <f>O762-O762*0.17</f>
        <v>0</v>
      </c>
      <c r="Q762" s="45" t="e">
        <f>P762/O762</f>
        <v>#DIV/0!</v>
      </c>
    </row>
    <row r="763" spans="1:17" ht="14.5" x14ac:dyDescent="0.35">
      <c r="A763" t="s">
        <v>24</v>
      </c>
      <c r="B763" t="s">
        <v>25</v>
      </c>
      <c r="D763" s="16" t="s">
        <v>1721</v>
      </c>
      <c r="E763" s="16" t="s">
        <v>1722</v>
      </c>
      <c r="F763" s="17">
        <v>45963</v>
      </c>
      <c r="G763" s="28" t="s">
        <v>38</v>
      </c>
      <c r="I763" t="s">
        <v>22</v>
      </c>
      <c r="J763" t="s">
        <v>35</v>
      </c>
      <c r="K763" t="s">
        <v>35</v>
      </c>
      <c r="P763" s="38">
        <f>O763-O763*0.17</f>
        <v>0</v>
      </c>
      <c r="Q763" s="45" t="e">
        <f>P763/O763</f>
        <v>#DIV/0!</v>
      </c>
    </row>
    <row r="764" spans="1:17" ht="14.5" x14ac:dyDescent="0.35">
      <c r="A764" t="s">
        <v>24</v>
      </c>
      <c r="B764" t="s">
        <v>25</v>
      </c>
      <c r="D764" s="16" t="s">
        <v>1723</v>
      </c>
      <c r="E764" s="16" t="s">
        <v>1724</v>
      </c>
      <c r="F764" s="17">
        <v>45963</v>
      </c>
      <c r="G764" s="28" t="s">
        <v>38</v>
      </c>
      <c r="I764" t="s">
        <v>22</v>
      </c>
      <c r="K764" t="s">
        <v>35</v>
      </c>
      <c r="L764" t="s">
        <v>35</v>
      </c>
      <c r="M764" t="s">
        <v>35</v>
      </c>
      <c r="P764" s="38">
        <f>O764-O764*0.17</f>
        <v>0</v>
      </c>
      <c r="Q764" s="45" t="e">
        <f>P764/O764</f>
        <v>#DIV/0!</v>
      </c>
    </row>
    <row r="765" spans="1:17" ht="14.5" x14ac:dyDescent="0.35">
      <c r="A765" t="s">
        <v>24</v>
      </c>
      <c r="B765" t="s">
        <v>25</v>
      </c>
      <c r="D765" s="16" t="s">
        <v>26</v>
      </c>
      <c r="E765" s="16" t="s">
        <v>1733</v>
      </c>
      <c r="F765" s="17">
        <v>45998</v>
      </c>
      <c r="G765" s="28" t="s">
        <v>38</v>
      </c>
      <c r="I765" t="s">
        <v>22</v>
      </c>
      <c r="K765" t="s">
        <v>35</v>
      </c>
      <c r="L765" t="s">
        <v>35</v>
      </c>
      <c r="M765" t="s">
        <v>35</v>
      </c>
      <c r="N765">
        <v>32</v>
      </c>
      <c r="P765" s="38">
        <f>O765-O765*0.17</f>
        <v>0</v>
      </c>
      <c r="Q765" s="45" t="e">
        <f>P765/O765</f>
        <v>#DIV/0!</v>
      </c>
    </row>
    <row r="766" spans="1:17" ht="14.5" x14ac:dyDescent="0.35">
      <c r="A766" t="s">
        <v>24</v>
      </c>
      <c r="B766" t="s">
        <v>25</v>
      </c>
      <c r="D766" s="16" t="s">
        <v>1734</v>
      </c>
      <c r="E766" s="16" t="s">
        <v>1735</v>
      </c>
      <c r="F766" s="17">
        <v>45998</v>
      </c>
      <c r="G766" s="28" t="s">
        <v>38</v>
      </c>
      <c r="I766" t="s">
        <v>22</v>
      </c>
      <c r="K766" t="s">
        <v>35</v>
      </c>
      <c r="L766" t="s">
        <v>35</v>
      </c>
      <c r="M766" t="s">
        <v>35</v>
      </c>
      <c r="N766">
        <v>3</v>
      </c>
      <c r="P766" s="38">
        <f>O766-O766*0.17</f>
        <v>0</v>
      </c>
      <c r="Q766" s="45" t="e">
        <f>P766/O766</f>
        <v>#DIV/0!</v>
      </c>
    </row>
    <row r="767" spans="1:17" ht="14.5" x14ac:dyDescent="0.35">
      <c r="A767" t="s">
        <v>24</v>
      </c>
      <c r="B767" t="s">
        <v>25</v>
      </c>
      <c r="D767" s="16" t="s">
        <v>1736</v>
      </c>
      <c r="E767" s="16" t="s">
        <v>1737</v>
      </c>
      <c r="F767" s="17">
        <v>46005</v>
      </c>
      <c r="G767" s="28" t="s">
        <v>38</v>
      </c>
      <c r="I767" t="s">
        <v>22</v>
      </c>
      <c r="K767" t="s">
        <v>35</v>
      </c>
      <c r="L767" t="s">
        <v>35</v>
      </c>
      <c r="P767" s="38">
        <f>O767-O767*0.17</f>
        <v>0</v>
      </c>
      <c r="Q767" s="45" t="e">
        <f>P767/O767</f>
        <v>#DIV/0!</v>
      </c>
    </row>
    <row r="768" spans="1:17" ht="14.5" x14ac:dyDescent="0.35">
      <c r="A768" t="s">
        <v>24</v>
      </c>
      <c r="B768" t="s">
        <v>25</v>
      </c>
      <c r="D768" s="16" t="s">
        <v>1617</v>
      </c>
      <c r="E768" s="16" t="s">
        <v>1738</v>
      </c>
      <c r="F768" s="17">
        <v>46012</v>
      </c>
      <c r="G768" s="28" t="s">
        <v>38</v>
      </c>
      <c r="I768" t="s">
        <v>22</v>
      </c>
      <c r="K768" t="s">
        <v>35</v>
      </c>
      <c r="M768" t="s">
        <v>35</v>
      </c>
      <c r="N768" t="s">
        <v>1739</v>
      </c>
      <c r="P768" s="38">
        <f>O768-O768*0.17</f>
        <v>0</v>
      </c>
      <c r="Q768" s="45" t="e">
        <f>P768/O768</f>
        <v>#DIV/0!</v>
      </c>
    </row>
    <row r="769" spans="1:21" ht="14.5" x14ac:dyDescent="0.35">
      <c r="A769" t="s">
        <v>24</v>
      </c>
      <c r="B769" t="s">
        <v>25</v>
      </c>
      <c r="D769" s="16" t="s">
        <v>1743</v>
      </c>
      <c r="E769" s="16" t="s">
        <v>1744</v>
      </c>
      <c r="F769" s="17">
        <v>46012</v>
      </c>
      <c r="G769" s="28" t="s">
        <v>38</v>
      </c>
      <c r="I769" t="s">
        <v>22</v>
      </c>
      <c r="K769" t="s">
        <v>35</v>
      </c>
      <c r="L769" t="s">
        <v>35</v>
      </c>
      <c r="N769">
        <v>3</v>
      </c>
      <c r="P769" s="38">
        <f>O769-O769*0.17</f>
        <v>0</v>
      </c>
      <c r="Q769" s="45" t="e">
        <f>P769/O769</f>
        <v>#DIV/0!</v>
      </c>
    </row>
    <row r="770" spans="1:21" ht="14.5" x14ac:dyDescent="0.35">
      <c r="A770" t="s">
        <v>181</v>
      </c>
      <c r="B770" t="s">
        <v>40</v>
      </c>
      <c r="D770" t="s">
        <v>1599</v>
      </c>
      <c r="E770" t="s">
        <v>1600</v>
      </c>
      <c r="F770" s="4">
        <v>46096</v>
      </c>
      <c r="G770" t="s">
        <v>38</v>
      </c>
      <c r="I770" t="s">
        <v>22</v>
      </c>
      <c r="K770" t="s">
        <v>35</v>
      </c>
      <c r="N770" t="s">
        <v>1601</v>
      </c>
      <c r="P770" s="38">
        <f>O770-O770*0.17</f>
        <v>0</v>
      </c>
      <c r="Q770" s="45" t="e">
        <f>P770/O770</f>
        <v>#DIV/0!</v>
      </c>
      <c r="T770">
        <v>2023</v>
      </c>
      <c r="U770" t="s">
        <v>1602</v>
      </c>
    </row>
    <row r="771" spans="1:21" ht="14.5" x14ac:dyDescent="0.35">
      <c r="A771" t="s">
        <v>16</v>
      </c>
      <c r="B771" t="s">
        <v>17</v>
      </c>
      <c r="D771" t="s">
        <v>1579</v>
      </c>
      <c r="E771" t="s">
        <v>1580</v>
      </c>
      <c r="F771" s="4">
        <v>46194</v>
      </c>
      <c r="G771" t="s">
        <v>614</v>
      </c>
      <c r="H771" t="s">
        <v>21</v>
      </c>
      <c r="I771" t="s">
        <v>22</v>
      </c>
      <c r="P771" s="38">
        <f>O771-O771*0.17</f>
        <v>0</v>
      </c>
      <c r="Q771" s="45" t="e">
        <f>P771/O771</f>
        <v>#DIV/0!</v>
      </c>
      <c r="U771" s="9" t="s">
        <v>286</v>
      </c>
    </row>
    <row r="772" spans="1:21" ht="14.5" x14ac:dyDescent="0.35">
      <c r="A772" t="s">
        <v>24</v>
      </c>
      <c r="B772" t="s">
        <v>25</v>
      </c>
      <c r="D772" s="16" t="s">
        <v>1707</v>
      </c>
      <c r="E772" s="16" t="s">
        <v>1708</v>
      </c>
      <c r="F772" s="17">
        <v>45928</v>
      </c>
      <c r="G772" s="28" t="s">
        <v>1709</v>
      </c>
      <c r="I772" t="s">
        <v>22</v>
      </c>
      <c r="L772" t="s">
        <v>35</v>
      </c>
      <c r="M772" t="s">
        <v>35</v>
      </c>
      <c r="N772">
        <v>3</v>
      </c>
      <c r="P772" s="38">
        <f>O772-O772*0.17</f>
        <v>0</v>
      </c>
      <c r="Q772" s="45" t="e">
        <f>P772/O772</f>
        <v>#DIV/0!</v>
      </c>
    </row>
    <row r="773" spans="1:21" ht="14.5" x14ac:dyDescent="0.35">
      <c r="A773" t="s">
        <v>1170</v>
      </c>
      <c r="B773" t="s">
        <v>201</v>
      </c>
      <c r="D773" t="s">
        <v>1171</v>
      </c>
      <c r="E773" t="s">
        <v>1537</v>
      </c>
      <c r="F773" s="4">
        <v>46159</v>
      </c>
      <c r="G773" t="s">
        <v>1174</v>
      </c>
      <c r="I773" t="s">
        <v>22</v>
      </c>
      <c r="M773" t="s">
        <v>35</v>
      </c>
      <c r="O773" s="30"/>
      <c r="P773" s="38">
        <f>O773-O773*0.17</f>
        <v>0</v>
      </c>
      <c r="Q773" s="45" t="e">
        <f>P773/O773</f>
        <v>#DIV/0!</v>
      </c>
      <c r="T773" s="7">
        <v>2015</v>
      </c>
    </row>
    <row r="774" spans="1:21" ht="14.5" x14ac:dyDescent="0.35">
      <c r="A774" t="s">
        <v>39</v>
      </c>
      <c r="B774" t="s">
        <v>40</v>
      </c>
      <c r="D774" t="s">
        <v>1594</v>
      </c>
      <c r="E774" t="s">
        <v>1595</v>
      </c>
      <c r="F774" s="4">
        <v>46221</v>
      </c>
      <c r="G774" t="s">
        <v>1595</v>
      </c>
      <c r="H774" t="s">
        <v>21</v>
      </c>
      <c r="I774" t="s">
        <v>302</v>
      </c>
      <c r="K774" t="s">
        <v>35</v>
      </c>
      <c r="M774" t="s">
        <v>35</v>
      </c>
      <c r="P774" s="38">
        <f>O774-O774*0.17</f>
        <v>0</v>
      </c>
      <c r="Q774" s="45" t="e">
        <f>P774/O774</f>
        <v>#DIV/0!</v>
      </c>
    </row>
    <row r="775" spans="1:21" ht="14.5" x14ac:dyDescent="0.35">
      <c r="A775" t="s">
        <v>24</v>
      </c>
      <c r="B775" t="s">
        <v>25</v>
      </c>
      <c r="D775" s="16" t="s">
        <v>26</v>
      </c>
      <c r="E775" s="16" t="s">
        <v>1678</v>
      </c>
      <c r="F775" s="17">
        <v>46208</v>
      </c>
      <c r="G775" s="28" t="s">
        <v>1679</v>
      </c>
      <c r="I775" t="s">
        <v>22</v>
      </c>
      <c r="K775" t="s">
        <v>35</v>
      </c>
      <c r="L775" t="s">
        <v>35</v>
      </c>
      <c r="M775" t="s">
        <v>35</v>
      </c>
      <c r="P775" s="38">
        <f>O775-O775*0.17</f>
        <v>0</v>
      </c>
      <c r="Q775" s="45" t="e">
        <f>P775/O775</f>
        <v>#DIV/0!</v>
      </c>
    </row>
    <row r="776" spans="1:21" ht="14.5" x14ac:dyDescent="0.35">
      <c r="A776" t="s">
        <v>39</v>
      </c>
      <c r="B776" t="s">
        <v>40</v>
      </c>
      <c r="D776" t="s">
        <v>253</v>
      </c>
      <c r="E776" t="s">
        <v>1571</v>
      </c>
      <c r="F776" s="4">
        <v>46327</v>
      </c>
      <c r="G776" t="s">
        <v>1572</v>
      </c>
      <c r="I776" t="s">
        <v>22</v>
      </c>
      <c r="K776" t="s">
        <v>35</v>
      </c>
      <c r="L776" t="s">
        <v>35</v>
      </c>
      <c r="M776" t="s">
        <v>35</v>
      </c>
      <c r="P776" s="38">
        <f>O776-O776*0.17</f>
        <v>0</v>
      </c>
      <c r="Q776" s="45" t="e">
        <f>P776/O776</f>
        <v>#DIV/0!</v>
      </c>
      <c r="U776" s="9" t="s">
        <v>286</v>
      </c>
    </row>
    <row r="777" spans="1:21" ht="14.5" x14ac:dyDescent="0.35">
      <c r="A777" t="s">
        <v>24</v>
      </c>
      <c r="B777" t="s">
        <v>25</v>
      </c>
      <c r="D777" t="s">
        <v>281</v>
      </c>
      <c r="E777" s="16" t="s">
        <v>1615</v>
      </c>
      <c r="F777" s="17">
        <v>46047</v>
      </c>
      <c r="G777" s="28" t="s">
        <v>1616</v>
      </c>
      <c r="I777" t="s">
        <v>22</v>
      </c>
      <c r="L777" t="s">
        <v>35</v>
      </c>
      <c r="M777" t="s">
        <v>35</v>
      </c>
      <c r="N777">
        <v>3</v>
      </c>
      <c r="P777" s="38">
        <f>O777-O777*0.17</f>
        <v>0</v>
      </c>
      <c r="Q777" s="45" t="e">
        <f>P777/O777</f>
        <v>#DIV/0!</v>
      </c>
    </row>
    <row r="778" spans="1:21" ht="14.5" x14ac:dyDescent="0.35">
      <c r="A778" t="s">
        <v>72</v>
      </c>
      <c r="B778" t="s">
        <v>40</v>
      </c>
      <c r="D778" t="s">
        <v>128</v>
      </c>
      <c r="E778" t="s">
        <v>1540</v>
      </c>
      <c r="F778" s="4"/>
      <c r="G778" t="s">
        <v>130</v>
      </c>
      <c r="H778" t="s">
        <v>48</v>
      </c>
      <c r="I778" t="s">
        <v>488</v>
      </c>
      <c r="L778" t="s">
        <v>35</v>
      </c>
      <c r="M778" t="s">
        <v>35</v>
      </c>
      <c r="P778" s="38">
        <f>O778-O778*0.17</f>
        <v>0</v>
      </c>
      <c r="Q778" s="45" t="e">
        <f>P778/O778</f>
        <v>#DIV/0!</v>
      </c>
    </row>
    <row r="779" spans="1:21" ht="14.5" x14ac:dyDescent="0.35">
      <c r="A779" t="s">
        <v>72</v>
      </c>
      <c r="B779" t="s">
        <v>40</v>
      </c>
      <c r="D779" t="s">
        <v>73</v>
      </c>
      <c r="E779" t="s">
        <v>1541</v>
      </c>
      <c r="F779" s="4">
        <v>46328</v>
      </c>
      <c r="G779" t="s">
        <v>130</v>
      </c>
      <c r="I779" t="s">
        <v>488</v>
      </c>
      <c r="P779" s="38">
        <f>O779-O779*0.17</f>
        <v>0</v>
      </c>
      <c r="Q779" s="45" t="e">
        <f>P779/O779</f>
        <v>#DIV/0!</v>
      </c>
    </row>
    <row r="780" spans="1:21" ht="14.5" x14ac:dyDescent="0.35">
      <c r="A780" t="s">
        <v>72</v>
      </c>
      <c r="B780" t="s">
        <v>40</v>
      </c>
      <c r="D780" t="s">
        <v>1581</v>
      </c>
      <c r="E780" t="s">
        <v>1582</v>
      </c>
      <c r="G780" t="s">
        <v>130</v>
      </c>
      <c r="I780" t="s">
        <v>22</v>
      </c>
      <c r="K780" t="s">
        <v>35</v>
      </c>
      <c r="L780" t="s">
        <v>35</v>
      </c>
      <c r="M780" t="s">
        <v>35</v>
      </c>
      <c r="P780" s="38">
        <f>O780-O780*0.17</f>
        <v>0</v>
      </c>
      <c r="Q780" s="45" t="e">
        <f>P780/O780</f>
        <v>#DIV/0!</v>
      </c>
    </row>
    <row r="781" spans="1:21" ht="14.5" x14ac:dyDescent="0.35">
      <c r="A781" t="s">
        <v>24</v>
      </c>
      <c r="B781" t="s">
        <v>25</v>
      </c>
      <c r="D781" s="16" t="s">
        <v>26</v>
      </c>
      <c r="E781" s="16" t="s">
        <v>1625</v>
      </c>
      <c r="F781" s="17">
        <v>45704</v>
      </c>
      <c r="G781" s="28" t="s">
        <v>1626</v>
      </c>
      <c r="I781" t="s">
        <v>22</v>
      </c>
      <c r="K781" t="s">
        <v>35</v>
      </c>
      <c r="L781" t="s">
        <v>35</v>
      </c>
      <c r="P781" s="38">
        <f>O781-O781*0.17</f>
        <v>0</v>
      </c>
      <c r="Q781" s="45" t="e">
        <f>P781/O781</f>
        <v>#DIV/0!</v>
      </c>
    </row>
    <row r="782" spans="1:21" ht="14.5" x14ac:dyDescent="0.35">
      <c r="A782" t="s">
        <v>24</v>
      </c>
      <c r="B782" t="s">
        <v>25</v>
      </c>
      <c r="D782" s="16" t="s">
        <v>1630</v>
      </c>
      <c r="E782" s="16" t="s">
        <v>1652</v>
      </c>
      <c r="F782" s="17">
        <v>46124</v>
      </c>
      <c r="G782" s="28" t="s">
        <v>1653</v>
      </c>
      <c r="I782" t="s">
        <v>22</v>
      </c>
      <c r="K782" t="s">
        <v>35</v>
      </c>
      <c r="L782" t="s">
        <v>35</v>
      </c>
      <c r="M782" t="s">
        <v>35</v>
      </c>
      <c r="N782">
        <v>3</v>
      </c>
      <c r="P782" s="38">
        <f>O782-O782*0.17</f>
        <v>0</v>
      </c>
      <c r="Q782" s="45" t="e">
        <f>P782/O782</f>
        <v>#DIV/0!</v>
      </c>
    </row>
    <row r="783" spans="1:21" ht="14.5" x14ac:dyDescent="0.35">
      <c r="A783" t="s">
        <v>24</v>
      </c>
      <c r="B783" t="s">
        <v>25</v>
      </c>
      <c r="D783" s="16" t="s">
        <v>638</v>
      </c>
      <c r="E783" s="16" t="s">
        <v>1666</v>
      </c>
      <c r="F783" s="17">
        <v>46145</v>
      </c>
      <c r="G783" s="28" t="s">
        <v>1653</v>
      </c>
      <c r="I783" t="s">
        <v>22</v>
      </c>
      <c r="K783" t="s">
        <v>35</v>
      </c>
      <c r="L783" t="s">
        <v>35</v>
      </c>
      <c r="M783" t="s">
        <v>35</v>
      </c>
      <c r="P783" s="38">
        <f>O783-O783*0.17</f>
        <v>0</v>
      </c>
      <c r="Q783" s="45" t="e">
        <f>P783/O783</f>
        <v>#DIV/0!</v>
      </c>
    </row>
    <row r="784" spans="1:21" ht="14.5" x14ac:dyDescent="0.35">
      <c r="A784" t="s">
        <v>196</v>
      </c>
      <c r="B784" t="s">
        <v>25</v>
      </c>
      <c r="D784" t="s">
        <v>2028</v>
      </c>
      <c r="E784" t="s">
        <v>2029</v>
      </c>
      <c r="F784" s="4">
        <v>46321</v>
      </c>
      <c r="G784" t="s">
        <v>2030</v>
      </c>
      <c r="H784" t="s">
        <v>48</v>
      </c>
      <c r="I784" t="s">
        <v>22</v>
      </c>
      <c r="J784" t="s">
        <v>35</v>
      </c>
      <c r="P784" s="38">
        <f>O784-O784*0.17</f>
        <v>0</v>
      </c>
      <c r="Q784" s="45" t="e">
        <f>P784/O784</f>
        <v>#DIV/0!</v>
      </c>
    </row>
    <row r="785" spans="1:17" ht="14.5" x14ac:dyDescent="0.35">
      <c r="A785" t="s">
        <v>24</v>
      </c>
      <c r="B785" t="s">
        <v>25</v>
      </c>
      <c r="D785" s="16" t="s">
        <v>638</v>
      </c>
      <c r="E785" s="16" t="s">
        <v>1683</v>
      </c>
      <c r="F785" s="17">
        <v>46229</v>
      </c>
      <c r="G785" s="28" t="s">
        <v>640</v>
      </c>
      <c r="I785" t="s">
        <v>22</v>
      </c>
      <c r="K785" t="s">
        <v>35</v>
      </c>
      <c r="L785" t="s">
        <v>35</v>
      </c>
      <c r="M785" t="s">
        <v>35</v>
      </c>
      <c r="P785" s="38">
        <f>O785-O785*0.17</f>
        <v>0</v>
      </c>
      <c r="Q785" s="45" t="e">
        <f>P785/O785</f>
        <v>#DIV/0!</v>
      </c>
    </row>
    <row r="786" spans="1:17" ht="14.5" x14ac:dyDescent="0.35">
      <c r="A786" t="s">
        <v>24</v>
      </c>
      <c r="B786" t="s">
        <v>25</v>
      </c>
      <c r="D786" s="16" t="s">
        <v>1654</v>
      </c>
      <c r="E786" s="16" t="s">
        <v>1655</v>
      </c>
      <c r="F786" s="17">
        <v>46124</v>
      </c>
      <c r="G786" s="28" t="s">
        <v>1656</v>
      </c>
      <c r="I786" t="s">
        <v>22</v>
      </c>
      <c r="K786" t="s">
        <v>35</v>
      </c>
      <c r="L786" t="s">
        <v>35</v>
      </c>
      <c r="M786" t="s">
        <v>35</v>
      </c>
      <c r="P786" s="38">
        <f>O786-O786*0.17</f>
        <v>0</v>
      </c>
      <c r="Q786" s="45" t="e">
        <f>P786/O786</f>
        <v>#DIV/0!</v>
      </c>
    </row>
    <row r="787" spans="1:17" ht="14.5" x14ac:dyDescent="0.35">
      <c r="A787" t="s">
        <v>24</v>
      </c>
      <c r="B787" t="s">
        <v>25</v>
      </c>
      <c r="D787" s="16" t="s">
        <v>1609</v>
      </c>
      <c r="E787" s="16" t="s">
        <v>1610</v>
      </c>
      <c r="F787" s="17">
        <v>46033</v>
      </c>
      <c r="G787" s="28" t="s">
        <v>1611</v>
      </c>
      <c r="I787" t="s">
        <v>22</v>
      </c>
      <c r="K787" t="s">
        <v>35</v>
      </c>
      <c r="L787" t="s">
        <v>35</v>
      </c>
      <c r="M787" t="s">
        <v>35</v>
      </c>
      <c r="P787" s="38">
        <f>O787-O787*0.17</f>
        <v>0</v>
      </c>
      <c r="Q787" s="45" t="e">
        <f>P787/O787</f>
        <v>#DIV/0!</v>
      </c>
    </row>
    <row r="788" spans="1:17" ht="14.5" x14ac:dyDescent="0.35">
      <c r="A788" t="s">
        <v>24</v>
      </c>
      <c r="B788" t="s">
        <v>25</v>
      </c>
      <c r="D788" t="s">
        <v>141</v>
      </c>
      <c r="E788" s="16" t="s">
        <v>1669</v>
      </c>
      <c r="F788" s="17">
        <v>46166</v>
      </c>
      <c r="G788" s="28" t="s">
        <v>1670</v>
      </c>
      <c r="I788" t="s">
        <v>22</v>
      </c>
      <c r="K788" t="s">
        <v>35</v>
      </c>
      <c r="L788" t="s">
        <v>35</v>
      </c>
      <c r="M788" t="s">
        <v>35</v>
      </c>
      <c r="P788" s="38">
        <f>O788-O788*0.17</f>
        <v>0</v>
      </c>
      <c r="Q788" s="45" t="e">
        <f>P788/O788</f>
        <v>#DIV/0!</v>
      </c>
    </row>
    <row r="789" spans="1:17" ht="14.5" x14ac:dyDescent="0.35">
      <c r="A789" t="s">
        <v>24</v>
      </c>
      <c r="B789" t="s">
        <v>25</v>
      </c>
      <c r="D789" s="16" t="s">
        <v>1725</v>
      </c>
      <c r="E789" s="16" t="s">
        <v>1726</v>
      </c>
      <c r="F789" s="17">
        <v>45970</v>
      </c>
      <c r="G789" s="28" t="s">
        <v>1727</v>
      </c>
      <c r="I789" t="s">
        <v>22</v>
      </c>
      <c r="K789" t="s">
        <v>35</v>
      </c>
      <c r="L789" t="s">
        <v>35</v>
      </c>
      <c r="M789" t="s">
        <v>35</v>
      </c>
      <c r="P789" s="38">
        <f>O789-O789*0.17</f>
        <v>0</v>
      </c>
      <c r="Q789" s="45" t="e">
        <f>P789/O789</f>
        <v>#DIV/0!</v>
      </c>
    </row>
    <row r="790" spans="1:17" ht="14.5" x14ac:dyDescent="0.35">
      <c r="A790" t="s">
        <v>24</v>
      </c>
      <c r="B790" t="s">
        <v>25</v>
      </c>
      <c r="D790" s="16" t="s">
        <v>1748</v>
      </c>
      <c r="E790" s="16" t="s">
        <v>1749</v>
      </c>
      <c r="F790" s="23">
        <v>46103</v>
      </c>
      <c r="G790" s="29" t="s">
        <v>1750</v>
      </c>
      <c r="I790" t="s">
        <v>956</v>
      </c>
      <c r="P790" s="38">
        <f>O790-O790*0.17</f>
        <v>0</v>
      </c>
      <c r="Q790" s="45" t="e">
        <f>P790/O790</f>
        <v>#DIV/0!</v>
      </c>
    </row>
    <row r="791" spans="1:17" ht="14.5" x14ac:dyDescent="0.35">
      <c r="A791" t="s">
        <v>24</v>
      </c>
      <c r="B791" t="s">
        <v>25</v>
      </c>
      <c r="D791" s="16" t="s">
        <v>695</v>
      </c>
      <c r="E791" s="16" t="s">
        <v>1676</v>
      </c>
      <c r="F791" s="17">
        <v>46201</v>
      </c>
      <c r="G791" s="28" t="s">
        <v>1677</v>
      </c>
      <c r="I791" t="s">
        <v>22</v>
      </c>
      <c r="L791" t="s">
        <v>35</v>
      </c>
      <c r="M791" t="s">
        <v>35</v>
      </c>
      <c r="N791">
        <v>15</v>
      </c>
      <c r="P791" s="38">
        <f>O791-O791*0.17</f>
        <v>0</v>
      </c>
      <c r="Q791" s="45" t="e">
        <f>P791/O791</f>
        <v>#DIV/0!</v>
      </c>
    </row>
    <row r="792" spans="1:17" ht="14.5" x14ac:dyDescent="0.35">
      <c r="A792" t="s">
        <v>24</v>
      </c>
      <c r="B792" t="s">
        <v>25</v>
      </c>
      <c r="D792" s="16" t="s">
        <v>1603</v>
      </c>
      <c r="E792" s="16" t="s">
        <v>1604</v>
      </c>
      <c r="F792" s="4">
        <v>46026</v>
      </c>
      <c r="G792" s="28" t="s">
        <v>1605</v>
      </c>
      <c r="I792" t="s">
        <v>22</v>
      </c>
      <c r="K792" t="s">
        <v>35</v>
      </c>
      <c r="L792" t="s">
        <v>35</v>
      </c>
      <c r="N792">
        <v>3</v>
      </c>
      <c r="P792" s="38">
        <f>O792-O792*0.17</f>
        <v>0</v>
      </c>
      <c r="Q792" s="45" t="e">
        <f>P792/O792</f>
        <v>#DIV/0!</v>
      </c>
    </row>
    <row r="793" spans="1:17" ht="14.5" x14ac:dyDescent="0.35">
      <c r="A793" t="s">
        <v>24</v>
      </c>
      <c r="B793" t="s">
        <v>25</v>
      </c>
      <c r="D793" s="16" t="s">
        <v>1765</v>
      </c>
      <c r="E793" s="16" t="s">
        <v>1766</v>
      </c>
      <c r="F793" s="23">
        <v>46354</v>
      </c>
      <c r="G793" s="29" t="s">
        <v>1767</v>
      </c>
      <c r="I793" t="s">
        <v>956</v>
      </c>
      <c r="P793" s="38">
        <f>O793-O793*0.17</f>
        <v>0</v>
      </c>
      <c r="Q793" s="45" t="e">
        <f>P793/O793</f>
        <v>#DIV/0!</v>
      </c>
    </row>
    <row r="794" spans="1:17" ht="14.5" x14ac:dyDescent="0.35">
      <c r="A794" t="s">
        <v>24</v>
      </c>
      <c r="B794" t="s">
        <v>25</v>
      </c>
      <c r="D794" s="16" t="s">
        <v>1630</v>
      </c>
      <c r="E794" s="16" t="s">
        <v>1673</v>
      </c>
      <c r="F794" s="17">
        <v>46190</v>
      </c>
      <c r="G794" s="28" t="s">
        <v>1674</v>
      </c>
      <c r="I794" t="s">
        <v>22</v>
      </c>
      <c r="K794" t="s">
        <v>35</v>
      </c>
      <c r="L794" t="s">
        <v>35</v>
      </c>
      <c r="M794" t="s">
        <v>35</v>
      </c>
      <c r="P794" s="38">
        <f>O794-O794*0.17</f>
        <v>0</v>
      </c>
      <c r="Q794" s="45" t="e">
        <f>P794/O794</f>
        <v>#DIV/0!</v>
      </c>
    </row>
    <row r="795" spans="1:17" ht="14.5" x14ac:dyDescent="0.35">
      <c r="A795" t="s">
        <v>24</v>
      </c>
      <c r="B795" t="s">
        <v>25</v>
      </c>
      <c r="D795" s="19" t="s">
        <v>1258</v>
      </c>
      <c r="E795" s="16" t="s">
        <v>1641</v>
      </c>
      <c r="F795" s="17">
        <v>46096</v>
      </c>
      <c r="G795" s="28" t="s">
        <v>1642</v>
      </c>
      <c r="I795" t="s">
        <v>22</v>
      </c>
      <c r="K795" t="s">
        <v>35</v>
      </c>
      <c r="L795" t="s">
        <v>35</v>
      </c>
      <c r="M795" t="s">
        <v>35</v>
      </c>
      <c r="N795">
        <v>3</v>
      </c>
      <c r="P795" s="38">
        <f>O795-O795*0.17</f>
        <v>0</v>
      </c>
      <c r="Q795" s="45" t="e">
        <f>P795/O795</f>
        <v>#DIV/0!</v>
      </c>
    </row>
    <row r="796" spans="1:17" ht="14.5" x14ac:dyDescent="0.35">
      <c r="A796" t="s">
        <v>24</v>
      </c>
      <c r="B796" t="s">
        <v>25</v>
      </c>
      <c r="D796" s="19" t="s">
        <v>1612</v>
      </c>
      <c r="E796" s="16" t="s">
        <v>1613</v>
      </c>
      <c r="F796" s="17">
        <v>46033</v>
      </c>
      <c r="G796" s="28" t="s">
        <v>653</v>
      </c>
      <c r="H796" t="s">
        <v>21</v>
      </c>
      <c r="I796" t="s">
        <v>22</v>
      </c>
      <c r="J796" t="s">
        <v>35</v>
      </c>
      <c r="K796" t="s">
        <v>35</v>
      </c>
      <c r="L796" t="s">
        <v>35</v>
      </c>
      <c r="P796" s="38">
        <f>O796-O796*0.17</f>
        <v>0</v>
      </c>
      <c r="Q796" s="45" t="e">
        <f>P796/O796</f>
        <v>#DIV/0!</v>
      </c>
    </row>
    <row r="797" spans="1:17" ht="14.5" x14ac:dyDescent="0.35">
      <c r="A797" t="s">
        <v>24</v>
      </c>
      <c r="B797" t="s">
        <v>25</v>
      </c>
      <c r="D797" s="19" t="s">
        <v>1639</v>
      </c>
      <c r="E797" s="16" t="s">
        <v>1640</v>
      </c>
      <c r="F797" s="17">
        <v>46096</v>
      </c>
      <c r="G797" s="28" t="s">
        <v>653</v>
      </c>
      <c r="H797" t="s">
        <v>21</v>
      </c>
      <c r="I797" t="s">
        <v>22</v>
      </c>
      <c r="J797" t="s">
        <v>35</v>
      </c>
      <c r="K797" t="s">
        <v>35</v>
      </c>
      <c r="L797" t="s">
        <v>35</v>
      </c>
      <c r="M797" t="s">
        <v>35</v>
      </c>
      <c r="P797" s="38">
        <f>O797-O797*0.17</f>
        <v>0</v>
      </c>
      <c r="Q797" s="45" t="e">
        <f>P797/O797</f>
        <v>#DIV/0!</v>
      </c>
    </row>
    <row r="798" spans="1:17" ht="14.5" x14ac:dyDescent="0.35">
      <c r="A798" t="s">
        <v>24</v>
      </c>
      <c r="B798" t="s">
        <v>25</v>
      </c>
      <c r="D798" t="s">
        <v>141</v>
      </c>
      <c r="E798" s="16" t="s">
        <v>1645</v>
      </c>
      <c r="F798" s="17">
        <v>46110</v>
      </c>
      <c r="G798" s="28" t="s">
        <v>653</v>
      </c>
      <c r="H798" t="s">
        <v>21</v>
      </c>
      <c r="I798" t="s">
        <v>22</v>
      </c>
      <c r="L798" t="s">
        <v>35</v>
      </c>
      <c r="M798" t="s">
        <v>35</v>
      </c>
      <c r="P798" s="38">
        <f>O798-O798*0.17</f>
        <v>0</v>
      </c>
      <c r="Q798" s="45" t="e">
        <f>P798/O798</f>
        <v>#DIV/0!</v>
      </c>
    </row>
    <row r="799" spans="1:17" ht="14.5" x14ac:dyDescent="0.35">
      <c r="A799" t="s">
        <v>24</v>
      </c>
      <c r="B799" t="s">
        <v>25</v>
      </c>
      <c r="D799" s="19" t="s">
        <v>1260</v>
      </c>
      <c r="E799" s="16" t="s">
        <v>1686</v>
      </c>
      <c r="F799" s="17">
        <v>46237</v>
      </c>
      <c r="G799" s="28" t="s">
        <v>653</v>
      </c>
      <c r="H799" t="s">
        <v>21</v>
      </c>
      <c r="I799" t="s">
        <v>22</v>
      </c>
      <c r="J799" t="s">
        <v>35</v>
      </c>
      <c r="K799" t="s">
        <v>35</v>
      </c>
      <c r="L799" t="s">
        <v>35</v>
      </c>
      <c r="M799" t="s">
        <v>35</v>
      </c>
      <c r="P799" s="38">
        <f>O799-O799*0.17</f>
        <v>0</v>
      </c>
      <c r="Q799" s="45" t="e">
        <f>P799/O799</f>
        <v>#DIV/0!</v>
      </c>
    </row>
    <row r="800" spans="1:17" ht="14.5" x14ac:dyDescent="0.35">
      <c r="A800" t="s">
        <v>24</v>
      </c>
      <c r="B800" t="s">
        <v>25</v>
      </c>
      <c r="D800" s="19" t="s">
        <v>26</v>
      </c>
      <c r="E800" s="16" t="s">
        <v>1691</v>
      </c>
      <c r="F800" s="17">
        <v>46251</v>
      </c>
      <c r="G800" s="28" t="s">
        <v>653</v>
      </c>
      <c r="H800" t="s">
        <v>21</v>
      </c>
      <c r="I800" t="s">
        <v>22</v>
      </c>
      <c r="K800" t="s">
        <v>35</v>
      </c>
      <c r="L800" t="s">
        <v>35</v>
      </c>
      <c r="M800" t="s">
        <v>35</v>
      </c>
      <c r="P800" s="38">
        <f>O800-O800*0.17</f>
        <v>0</v>
      </c>
      <c r="Q800" s="45" t="e">
        <f>P800/O800</f>
        <v>#DIV/0!</v>
      </c>
    </row>
    <row r="801" spans="1:20" ht="14.5" x14ac:dyDescent="0.35">
      <c r="A801" t="s">
        <v>24</v>
      </c>
      <c r="B801" t="s">
        <v>25</v>
      </c>
      <c r="D801" s="19" t="s">
        <v>1700</v>
      </c>
      <c r="E801" s="16" t="s">
        <v>1701</v>
      </c>
      <c r="F801" s="17">
        <v>46272</v>
      </c>
      <c r="G801" s="28" t="s">
        <v>653</v>
      </c>
      <c r="H801" t="s">
        <v>21</v>
      </c>
      <c r="I801" t="s">
        <v>22</v>
      </c>
      <c r="K801" t="s">
        <v>35</v>
      </c>
      <c r="L801" t="s">
        <v>35</v>
      </c>
      <c r="M801" t="s">
        <v>35</v>
      </c>
      <c r="P801" s="38">
        <f>O801-O801*0.17</f>
        <v>0</v>
      </c>
      <c r="Q801" s="45" t="e">
        <f>P801/O801</f>
        <v>#DIV/0!</v>
      </c>
    </row>
    <row r="802" spans="1:20" ht="14.5" x14ac:dyDescent="0.35">
      <c r="A802" t="s">
        <v>24</v>
      </c>
      <c r="B802" t="s">
        <v>25</v>
      </c>
      <c r="D802" s="19" t="s">
        <v>1127</v>
      </c>
      <c r="E802" s="16" t="s">
        <v>1711</v>
      </c>
      <c r="F802" s="17">
        <v>46293</v>
      </c>
      <c r="G802" s="28" t="s">
        <v>653</v>
      </c>
      <c r="H802" t="s">
        <v>21</v>
      </c>
      <c r="I802" t="s">
        <v>22</v>
      </c>
      <c r="L802" t="s">
        <v>35</v>
      </c>
      <c r="P802" s="38">
        <f>O802-O802*0.17</f>
        <v>0</v>
      </c>
      <c r="Q802" s="45" t="e">
        <f>P802/O802</f>
        <v>#DIV/0!</v>
      </c>
    </row>
    <row r="803" spans="1:20" ht="14.5" x14ac:dyDescent="0.35">
      <c r="A803" t="s">
        <v>24</v>
      </c>
      <c r="B803" t="s">
        <v>25</v>
      </c>
      <c r="D803" t="s">
        <v>141</v>
      </c>
      <c r="E803" s="16" t="s">
        <v>1745</v>
      </c>
      <c r="F803" s="17">
        <v>46377</v>
      </c>
      <c r="G803" s="28" t="s">
        <v>653</v>
      </c>
      <c r="H803" t="s">
        <v>21</v>
      </c>
      <c r="I803" t="s">
        <v>22</v>
      </c>
      <c r="M803" t="s">
        <v>35</v>
      </c>
      <c r="N803" t="s">
        <v>1746</v>
      </c>
      <c r="P803" s="38">
        <f>O803-O803*0.17</f>
        <v>0</v>
      </c>
      <c r="Q803" s="45" t="e">
        <f>P803/O803</f>
        <v>#DIV/0!</v>
      </c>
    </row>
    <row r="804" spans="1:20" ht="14.5" x14ac:dyDescent="0.35">
      <c r="A804" t="s">
        <v>24</v>
      </c>
      <c r="B804" t="s">
        <v>25</v>
      </c>
      <c r="D804" t="s">
        <v>141</v>
      </c>
      <c r="E804" s="16" t="s">
        <v>1764</v>
      </c>
      <c r="F804" s="23">
        <v>46342</v>
      </c>
      <c r="G804" s="28" t="s">
        <v>653</v>
      </c>
      <c r="H804" t="s">
        <v>21</v>
      </c>
      <c r="I804" t="s">
        <v>956</v>
      </c>
      <c r="P804" s="38">
        <f>O804-O804*0.17</f>
        <v>0</v>
      </c>
      <c r="Q804" s="45" t="e">
        <f>P804/O804</f>
        <v>#DIV/0!</v>
      </c>
    </row>
    <row r="805" spans="1:20" ht="14.5" x14ac:dyDescent="0.35">
      <c r="A805" t="s">
        <v>24</v>
      </c>
      <c r="B805" t="s">
        <v>25</v>
      </c>
      <c r="D805" s="16" t="s">
        <v>26</v>
      </c>
      <c r="E805" s="16" t="s">
        <v>1671</v>
      </c>
      <c r="F805" s="17">
        <v>46180</v>
      </c>
      <c r="G805" s="28" t="s">
        <v>1672</v>
      </c>
      <c r="I805" t="s">
        <v>22</v>
      </c>
      <c r="K805" t="s">
        <v>35</v>
      </c>
      <c r="L805" t="s">
        <v>35</v>
      </c>
      <c r="M805" t="s">
        <v>35</v>
      </c>
      <c r="P805" s="38">
        <f>O805-O805*0.17</f>
        <v>0</v>
      </c>
      <c r="Q805" s="45" t="e">
        <f>P805/O805</f>
        <v>#DIV/0!</v>
      </c>
    </row>
    <row r="806" spans="1:20" ht="14.5" x14ac:dyDescent="0.35">
      <c r="A806" t="s">
        <v>538</v>
      </c>
      <c r="B806" t="s">
        <v>25</v>
      </c>
      <c r="D806" t="s">
        <v>105</v>
      </c>
      <c r="E806" t="s">
        <v>1556</v>
      </c>
      <c r="F806" s="4">
        <v>46259</v>
      </c>
      <c r="G806" t="s">
        <v>1557</v>
      </c>
      <c r="P806" s="38">
        <f>O806-O806*0.17</f>
        <v>0</v>
      </c>
      <c r="Q806" s="45" t="e">
        <f>P806/O806</f>
        <v>#DIV/0!</v>
      </c>
    </row>
    <row r="807" spans="1:20" ht="14.5" x14ac:dyDescent="0.35">
      <c r="A807" t="s">
        <v>24</v>
      </c>
      <c r="B807" t="s">
        <v>25</v>
      </c>
      <c r="D807" s="16" t="s">
        <v>1740</v>
      </c>
      <c r="E807" s="16" t="s">
        <v>1741</v>
      </c>
      <c r="F807" s="17">
        <v>46012</v>
      </c>
      <c r="G807" s="28" t="s">
        <v>1742</v>
      </c>
      <c r="I807" t="s">
        <v>22</v>
      </c>
      <c r="K807" t="s">
        <v>35</v>
      </c>
      <c r="L807" t="s">
        <v>35</v>
      </c>
      <c r="M807" t="s">
        <v>35</v>
      </c>
      <c r="P807" s="38">
        <f>O807-O807*0.17</f>
        <v>0</v>
      </c>
      <c r="Q807" s="45" t="e">
        <f>P807/O807</f>
        <v>#DIV/0!</v>
      </c>
    </row>
    <row r="808" spans="1:20" ht="14.5" x14ac:dyDescent="0.35">
      <c r="A808" t="s">
        <v>24</v>
      </c>
      <c r="B808" t="s">
        <v>25</v>
      </c>
      <c r="D808" s="16" t="s">
        <v>1630</v>
      </c>
      <c r="E808" s="16" t="s">
        <v>1631</v>
      </c>
      <c r="F808" s="17">
        <v>46082</v>
      </c>
      <c r="G808" s="28" t="s">
        <v>1632</v>
      </c>
      <c r="I808" t="s">
        <v>22</v>
      </c>
      <c r="K808" t="s">
        <v>35</v>
      </c>
      <c r="L808" t="s">
        <v>35</v>
      </c>
      <c r="M808" t="s">
        <v>35</v>
      </c>
      <c r="P808" s="38">
        <f>O808-O808*0.17</f>
        <v>0</v>
      </c>
      <c r="Q808" s="45" t="e">
        <f>P808/O808</f>
        <v>#DIV/0!</v>
      </c>
    </row>
    <row r="809" spans="1:20" ht="14.5" x14ac:dyDescent="0.35">
      <c r="A809" t="s">
        <v>507</v>
      </c>
      <c r="B809" t="s">
        <v>201</v>
      </c>
      <c r="D809" t="s">
        <v>1558</v>
      </c>
      <c r="E809" t="s">
        <v>1559</v>
      </c>
      <c r="F809" s="4">
        <v>46063</v>
      </c>
      <c r="G809" t="s">
        <v>1560</v>
      </c>
      <c r="H809" t="s">
        <v>21</v>
      </c>
      <c r="I809" t="s">
        <v>22</v>
      </c>
      <c r="K809" t="s">
        <v>35</v>
      </c>
      <c r="L809" t="s">
        <v>35</v>
      </c>
      <c r="M809" t="s">
        <v>35</v>
      </c>
      <c r="N809" t="s">
        <v>513</v>
      </c>
      <c r="O809" s="30"/>
      <c r="P809" s="38">
        <f>O809-O809*0.17</f>
        <v>0</v>
      </c>
      <c r="Q809" s="45" t="e">
        <f>P809/O809</f>
        <v>#DIV/0!</v>
      </c>
      <c r="T809" s="7">
        <v>2021</v>
      </c>
    </row>
    <row r="810" spans="1:20" ht="14.5" x14ac:dyDescent="0.35">
      <c r="A810" t="s">
        <v>237</v>
      </c>
      <c r="B810" t="s">
        <v>50</v>
      </c>
      <c r="D810" t="s">
        <v>1565</v>
      </c>
      <c r="E810" t="s">
        <v>1566</v>
      </c>
      <c r="F810" s="4">
        <v>46271</v>
      </c>
      <c r="G810" t="s">
        <v>1567</v>
      </c>
      <c r="H810" t="s">
        <v>21</v>
      </c>
      <c r="I810" t="s">
        <v>1141</v>
      </c>
      <c r="J810" t="s">
        <v>35</v>
      </c>
      <c r="K810" t="s">
        <v>35</v>
      </c>
      <c r="L810" t="s">
        <v>35</v>
      </c>
      <c r="N810" t="s">
        <v>1568</v>
      </c>
      <c r="P810" s="38">
        <f>O810-O810*0.17</f>
        <v>0</v>
      </c>
      <c r="Q810" s="45" t="e">
        <f>P810/O810</f>
        <v>#DIV/0!</v>
      </c>
    </row>
    <row r="811" spans="1:20" ht="14.5" x14ac:dyDescent="0.35">
      <c r="A811" t="s">
        <v>39</v>
      </c>
      <c r="B811" t="s">
        <v>40</v>
      </c>
      <c r="D811" t="s">
        <v>1569</v>
      </c>
      <c r="E811" t="s">
        <v>1570</v>
      </c>
      <c r="G811" t="s">
        <v>817</v>
      </c>
      <c r="I811" t="s">
        <v>22</v>
      </c>
      <c r="P811" s="38">
        <f>O811-O811*0.17</f>
        <v>0</v>
      </c>
      <c r="Q811" s="45" t="e">
        <f>P811/O811</f>
        <v>#DIV/0!</v>
      </c>
    </row>
    <row r="812" spans="1:20" ht="14.5" x14ac:dyDescent="0.35">
      <c r="A812" t="s">
        <v>24</v>
      </c>
      <c r="B812" t="s">
        <v>25</v>
      </c>
      <c r="D812" s="16" t="s">
        <v>1736</v>
      </c>
      <c r="E812" s="16" t="s">
        <v>1751</v>
      </c>
      <c r="F812" s="23">
        <v>46137</v>
      </c>
      <c r="G812" s="29" t="s">
        <v>1752</v>
      </c>
      <c r="I812" t="s">
        <v>956</v>
      </c>
      <c r="P812" s="38">
        <f>O812-O812*0.17</f>
        <v>0</v>
      </c>
      <c r="Q812" s="45" t="e">
        <f>P812/O812</f>
        <v>#DIV/0!</v>
      </c>
    </row>
    <row r="813" spans="1:20" ht="14.5" x14ac:dyDescent="0.35">
      <c r="A813" t="s">
        <v>24</v>
      </c>
      <c r="B813" t="s">
        <v>25</v>
      </c>
      <c r="D813" s="16" t="s">
        <v>1680</v>
      </c>
      <c r="E813" s="16" t="s">
        <v>1681</v>
      </c>
      <c r="F813" s="17">
        <v>45851</v>
      </c>
      <c r="G813" s="28" t="s">
        <v>1682</v>
      </c>
      <c r="I813" t="s">
        <v>22</v>
      </c>
      <c r="K813" t="s">
        <v>35</v>
      </c>
      <c r="L813" t="s">
        <v>35</v>
      </c>
      <c r="M813" t="s">
        <v>35</v>
      </c>
      <c r="P813" s="38">
        <f>O813-O813*0.17</f>
        <v>0</v>
      </c>
      <c r="Q813" s="45" t="e">
        <f>P813/O813</f>
        <v>#DIV/0!</v>
      </c>
    </row>
    <row r="814" spans="1:20" ht="14.5" x14ac:dyDescent="0.35">
      <c r="A814" t="s">
        <v>24</v>
      </c>
      <c r="B814" t="s">
        <v>25</v>
      </c>
      <c r="D814" s="16" t="s">
        <v>1693</v>
      </c>
      <c r="E814" s="16" t="s">
        <v>1694</v>
      </c>
      <c r="F814" s="17">
        <v>46257</v>
      </c>
      <c r="G814" s="28" t="s">
        <v>1682</v>
      </c>
      <c r="I814" t="s">
        <v>22</v>
      </c>
      <c r="K814" t="s">
        <v>35</v>
      </c>
      <c r="L814" t="s">
        <v>35</v>
      </c>
      <c r="M814" t="s">
        <v>35</v>
      </c>
      <c r="N814">
        <v>15</v>
      </c>
      <c r="P814" s="38">
        <f>O814-O814*0.17</f>
        <v>0</v>
      </c>
      <c r="Q814" s="45" t="e">
        <f>P814/O814</f>
        <v>#DIV/0!</v>
      </c>
    </row>
    <row r="815" spans="1:20" ht="14.5" x14ac:dyDescent="0.35">
      <c r="A815" t="s">
        <v>24</v>
      </c>
      <c r="B815" t="s">
        <v>25</v>
      </c>
      <c r="D815" s="16" t="s">
        <v>1756</v>
      </c>
      <c r="E815" s="16" t="s">
        <v>1757</v>
      </c>
      <c r="F815" s="23">
        <v>46201</v>
      </c>
      <c r="G815" s="29" t="s">
        <v>1682</v>
      </c>
      <c r="I815" t="s">
        <v>956</v>
      </c>
      <c r="P815" s="38">
        <f>O815-O815*0.17</f>
        <v>0</v>
      </c>
      <c r="Q815" s="45" t="e">
        <f>P815/O815</f>
        <v>#DIV/0!</v>
      </c>
    </row>
    <row r="816" spans="1:20" ht="14.5" x14ac:dyDescent="0.35">
      <c r="A816" t="s">
        <v>24</v>
      </c>
      <c r="B816" t="s">
        <v>25</v>
      </c>
      <c r="D816" s="19" t="s">
        <v>590</v>
      </c>
      <c r="E816" s="16" t="s">
        <v>1621</v>
      </c>
      <c r="F816" s="17">
        <v>46054</v>
      </c>
      <c r="G816" s="28" t="s">
        <v>1622</v>
      </c>
      <c r="I816" t="s">
        <v>22</v>
      </c>
      <c r="J816" t="s">
        <v>35</v>
      </c>
      <c r="L816" t="s">
        <v>35</v>
      </c>
      <c r="M816" t="s">
        <v>35</v>
      </c>
      <c r="N816" t="s">
        <v>1623</v>
      </c>
      <c r="P816" s="38">
        <f>O816-O816*0.17</f>
        <v>0</v>
      </c>
      <c r="Q816" s="45" t="e">
        <f>P816/O816</f>
        <v>#DIV/0!</v>
      </c>
    </row>
    <row r="817" spans="1:21" ht="14.5" x14ac:dyDescent="0.35">
      <c r="A817" t="s">
        <v>24</v>
      </c>
      <c r="B817" t="s">
        <v>25</v>
      </c>
      <c r="D817" s="16" t="s">
        <v>26</v>
      </c>
      <c r="E817" s="16" t="s">
        <v>1716</v>
      </c>
      <c r="F817" s="17">
        <v>45935</v>
      </c>
      <c r="G817" s="28" t="s">
        <v>1717</v>
      </c>
      <c r="I817" t="s">
        <v>718</v>
      </c>
      <c r="K817" t="s">
        <v>35</v>
      </c>
      <c r="P817" s="38">
        <f>O817-O817*0.17</f>
        <v>0</v>
      </c>
      <c r="Q817" s="45" t="e">
        <f>P817/O817</f>
        <v>#DIV/0!</v>
      </c>
    </row>
    <row r="818" spans="1:21" ht="14.5" x14ac:dyDescent="0.35">
      <c r="A818" t="s">
        <v>24</v>
      </c>
      <c r="B818" t="s">
        <v>25</v>
      </c>
      <c r="D818" s="16" t="s">
        <v>1712</v>
      </c>
      <c r="E818" s="16" t="s">
        <v>1713</v>
      </c>
      <c r="F818" s="17">
        <v>46299</v>
      </c>
      <c r="G818" s="28" t="s">
        <v>1714</v>
      </c>
      <c r="I818" t="s">
        <v>22</v>
      </c>
      <c r="J818" t="s">
        <v>35</v>
      </c>
      <c r="K818" t="s">
        <v>35</v>
      </c>
      <c r="L818" t="s">
        <v>35</v>
      </c>
      <c r="M818" t="s">
        <v>35</v>
      </c>
      <c r="N818">
        <v>51</v>
      </c>
      <c r="P818" s="38">
        <f>O818-O818*0.17</f>
        <v>0</v>
      </c>
      <c r="Q818" s="45" t="e">
        <f>P818/O818</f>
        <v>#DIV/0!</v>
      </c>
    </row>
    <row r="819" spans="1:21" ht="14.5" x14ac:dyDescent="0.35">
      <c r="A819" t="s">
        <v>24</v>
      </c>
      <c r="B819" t="s">
        <v>25</v>
      </c>
      <c r="D819" s="16" t="s">
        <v>1758</v>
      </c>
      <c r="E819" s="16" t="s">
        <v>1759</v>
      </c>
      <c r="F819" s="23">
        <v>45942</v>
      </c>
      <c r="G819" s="29" t="s">
        <v>1760</v>
      </c>
      <c r="I819" t="s">
        <v>956</v>
      </c>
      <c r="P819" s="38">
        <f>O819-O819*0.17</f>
        <v>0</v>
      </c>
      <c r="Q819" s="45" t="e">
        <f>P819/O819</f>
        <v>#DIV/0!</v>
      </c>
    </row>
    <row r="820" spans="1:21" ht="14.5" x14ac:dyDescent="0.35">
      <c r="A820" t="s">
        <v>249</v>
      </c>
      <c r="B820" t="s">
        <v>50</v>
      </c>
      <c r="D820" t="s">
        <v>1561</v>
      </c>
      <c r="E820" t="s">
        <v>1562</v>
      </c>
      <c r="F820" s="4">
        <v>46124</v>
      </c>
      <c r="G820" t="s">
        <v>1563</v>
      </c>
      <c r="H820" t="s">
        <v>21</v>
      </c>
      <c r="I820" t="s">
        <v>1141</v>
      </c>
      <c r="J820" t="s">
        <v>35</v>
      </c>
      <c r="K820" t="s">
        <v>35</v>
      </c>
      <c r="L820" t="s">
        <v>35</v>
      </c>
      <c r="N820" t="s">
        <v>1564</v>
      </c>
      <c r="P820" s="38">
        <f>O820-O820*0.17</f>
        <v>0</v>
      </c>
      <c r="Q820" s="45" t="e">
        <f>P820/O820</f>
        <v>#DIV/0!</v>
      </c>
    </row>
    <row r="821" spans="1:21" ht="14.5" x14ac:dyDescent="0.35">
      <c r="A821" t="s">
        <v>24</v>
      </c>
      <c r="B821" t="s">
        <v>25</v>
      </c>
      <c r="D821" s="16" t="s">
        <v>638</v>
      </c>
      <c r="E821" s="16" t="s">
        <v>1637</v>
      </c>
      <c r="F821" s="17">
        <v>46096</v>
      </c>
      <c r="G821" s="28" t="s">
        <v>1638</v>
      </c>
      <c r="I821" t="s">
        <v>22</v>
      </c>
      <c r="K821" t="s">
        <v>35</v>
      </c>
      <c r="L821" t="s">
        <v>35</v>
      </c>
      <c r="M821" t="s">
        <v>35</v>
      </c>
      <c r="P821" s="38">
        <f>O821-O821*0.17</f>
        <v>0</v>
      </c>
      <c r="Q821" s="45" t="e">
        <f>P821/O821</f>
        <v>#DIV/0!</v>
      </c>
    </row>
    <row r="822" spans="1:21" ht="14.5" x14ac:dyDescent="0.35">
      <c r="A822" t="s">
        <v>24</v>
      </c>
      <c r="B822" t="s">
        <v>25</v>
      </c>
      <c r="D822" s="16" t="s">
        <v>638</v>
      </c>
      <c r="E822" s="16" t="s">
        <v>1667</v>
      </c>
      <c r="F822" s="17">
        <v>46145</v>
      </c>
      <c r="G822" s="28" t="s">
        <v>1638</v>
      </c>
      <c r="I822" t="s">
        <v>22</v>
      </c>
      <c r="K822" t="s">
        <v>35</v>
      </c>
      <c r="L822" t="s">
        <v>35</v>
      </c>
      <c r="M822" t="s">
        <v>35</v>
      </c>
      <c r="P822" s="38">
        <f>O822-O822*0.17</f>
        <v>0</v>
      </c>
      <c r="Q822" s="45" t="e">
        <f>P822/O822</f>
        <v>#DIV/0!</v>
      </c>
    </row>
    <row r="823" spans="1:21" ht="14.5" x14ac:dyDescent="0.35">
      <c r="A823" t="s">
        <v>24</v>
      </c>
      <c r="B823" t="s">
        <v>25</v>
      </c>
      <c r="D823" s="16" t="s">
        <v>1260</v>
      </c>
      <c r="E823" s="16" t="s">
        <v>1658</v>
      </c>
      <c r="F823" s="17">
        <v>46124</v>
      </c>
      <c r="G823" s="28" t="s">
        <v>1659</v>
      </c>
      <c r="I823" t="s">
        <v>22</v>
      </c>
      <c r="J823" t="s">
        <v>35</v>
      </c>
      <c r="K823" t="s">
        <v>35</v>
      </c>
      <c r="L823" t="s">
        <v>35</v>
      </c>
      <c r="M823" t="s">
        <v>35</v>
      </c>
      <c r="N823">
        <v>35</v>
      </c>
      <c r="P823" s="38">
        <f>O823-O823*0.17</f>
        <v>0</v>
      </c>
      <c r="Q823" s="45" t="e">
        <f>P823/O823</f>
        <v>#DIV/0!</v>
      </c>
    </row>
    <row r="824" spans="1:21" ht="14.5" x14ac:dyDescent="0.35">
      <c r="A824" t="s">
        <v>66</v>
      </c>
      <c r="B824" t="s">
        <v>40</v>
      </c>
      <c r="D824" t="s">
        <v>1591</v>
      </c>
      <c r="E824" t="s">
        <v>1592</v>
      </c>
      <c r="F824" s="4">
        <v>46293</v>
      </c>
      <c r="G824" t="s">
        <v>1593</v>
      </c>
      <c r="I824" t="s">
        <v>22</v>
      </c>
      <c r="J824" t="s">
        <v>35</v>
      </c>
      <c r="K824" t="s">
        <v>35</v>
      </c>
      <c r="P824" s="38">
        <f>O824-O824*0.17</f>
        <v>0</v>
      </c>
      <c r="Q824" s="45" t="e">
        <f>P824/O824</f>
        <v>#DIV/0!</v>
      </c>
    </row>
    <row r="825" spans="1:21" ht="14.5" x14ac:dyDescent="0.35">
      <c r="A825" t="s">
        <v>24</v>
      </c>
      <c r="B825" t="s">
        <v>25</v>
      </c>
      <c r="D825" s="16" t="s">
        <v>26</v>
      </c>
      <c r="E825" s="16" t="s">
        <v>1684</v>
      </c>
      <c r="F825" s="17">
        <v>46236</v>
      </c>
      <c r="G825" s="28" t="s">
        <v>1685</v>
      </c>
      <c r="I825" t="s">
        <v>22</v>
      </c>
      <c r="K825" t="s">
        <v>35</v>
      </c>
      <c r="N825">
        <v>15</v>
      </c>
      <c r="P825" s="38">
        <f>O825-O825*0.17</f>
        <v>0</v>
      </c>
      <c r="Q825" s="45" t="e">
        <f>P825/O825</f>
        <v>#DIV/0!</v>
      </c>
    </row>
    <row r="826" spans="1:21" ht="14.5" x14ac:dyDescent="0.35">
      <c r="A826" t="s">
        <v>24</v>
      </c>
      <c r="B826" t="s">
        <v>25</v>
      </c>
      <c r="D826" s="16" t="s">
        <v>1761</v>
      </c>
      <c r="E826" s="16" t="s">
        <v>1762</v>
      </c>
      <c r="F826" s="23">
        <v>45954</v>
      </c>
      <c r="G826" s="29" t="s">
        <v>1763</v>
      </c>
      <c r="I826" t="s">
        <v>956</v>
      </c>
      <c r="P826" s="38">
        <f>O826-O826*0.17</f>
        <v>0</v>
      </c>
      <c r="Q826" s="45" t="e">
        <f>P826/O826</f>
        <v>#DIV/0!</v>
      </c>
    </row>
    <row r="827" spans="1:21" ht="14.5" x14ac:dyDescent="0.35">
      <c r="A827" t="s">
        <v>24</v>
      </c>
      <c r="B827" t="s">
        <v>25</v>
      </c>
      <c r="D827" s="16" t="s">
        <v>1660</v>
      </c>
      <c r="E827" s="16" t="s">
        <v>1661</v>
      </c>
      <c r="F827" s="17">
        <v>46131</v>
      </c>
      <c r="G827" s="28" t="s">
        <v>1662</v>
      </c>
      <c r="I827" t="s">
        <v>22</v>
      </c>
      <c r="K827" t="s">
        <v>35</v>
      </c>
      <c r="L827" t="s">
        <v>35</v>
      </c>
      <c r="M827" t="s">
        <v>35</v>
      </c>
      <c r="P827" s="38">
        <f>O827-O827*0.17</f>
        <v>0</v>
      </c>
      <c r="Q827" s="45" t="e">
        <f>P827/O827</f>
        <v>#DIV/0!</v>
      </c>
    </row>
    <row r="828" spans="1:21" ht="14.5" x14ac:dyDescent="0.35">
      <c r="A828" t="s">
        <v>24</v>
      </c>
      <c r="B828" t="s">
        <v>25</v>
      </c>
      <c r="D828" s="16" t="s">
        <v>1198</v>
      </c>
      <c r="E828" s="16" t="s">
        <v>1715</v>
      </c>
      <c r="F828" s="17">
        <v>46299</v>
      </c>
      <c r="G828" s="28" t="s">
        <v>1662</v>
      </c>
      <c r="I828" t="s">
        <v>22</v>
      </c>
      <c r="K828" t="s">
        <v>35</v>
      </c>
      <c r="L828" t="s">
        <v>35</v>
      </c>
      <c r="M828" t="s">
        <v>35</v>
      </c>
      <c r="P828" s="38">
        <f>O828-O828*0.17</f>
        <v>0</v>
      </c>
      <c r="Q828" s="45" t="e">
        <f>P828/O828</f>
        <v>#DIV/0!</v>
      </c>
    </row>
    <row r="829" spans="1:21" ht="14.5" x14ac:dyDescent="0.35">
      <c r="A829" t="s">
        <v>24</v>
      </c>
      <c r="B829" t="s">
        <v>25</v>
      </c>
      <c r="D829" s="16" t="s">
        <v>1718</v>
      </c>
      <c r="E829" s="16" t="s">
        <v>1719</v>
      </c>
      <c r="F829" s="17">
        <v>46320</v>
      </c>
      <c r="G829" s="28" t="s">
        <v>1662</v>
      </c>
      <c r="I829" t="s">
        <v>22</v>
      </c>
      <c r="K829" t="s">
        <v>35</v>
      </c>
      <c r="L829" t="s">
        <v>35</v>
      </c>
      <c r="M829" t="s">
        <v>35</v>
      </c>
      <c r="P829" s="38">
        <f>O829-O829*0.17</f>
        <v>0</v>
      </c>
      <c r="Q829" s="45" t="e">
        <f>P829/O829</f>
        <v>#DIV/0!</v>
      </c>
    </row>
    <row r="830" spans="1:21" ht="14.5" x14ac:dyDescent="0.35">
      <c r="A830" t="s">
        <v>98</v>
      </c>
      <c r="B830" t="s">
        <v>40</v>
      </c>
      <c r="D830" t="s">
        <v>1547</v>
      </c>
      <c r="E830" t="s">
        <v>1548</v>
      </c>
      <c r="F830" s="4">
        <v>46194</v>
      </c>
      <c r="G830" t="s">
        <v>1049</v>
      </c>
      <c r="H830" t="s">
        <v>21</v>
      </c>
      <c r="I830" t="s">
        <v>956</v>
      </c>
      <c r="N830" t="s">
        <v>1549</v>
      </c>
      <c r="P830" s="38">
        <f>O830-O830*0.17</f>
        <v>0</v>
      </c>
      <c r="Q830" s="45" t="e">
        <f>P830/O830</f>
        <v>#DIV/0!</v>
      </c>
      <c r="U830" s="9" t="s">
        <v>286</v>
      </c>
    </row>
    <row r="831" spans="1:21" ht="14.5" x14ac:dyDescent="0.35">
      <c r="A831" t="s">
        <v>98</v>
      </c>
      <c r="B831" t="s">
        <v>40</v>
      </c>
      <c r="D831" t="s">
        <v>1162</v>
      </c>
      <c r="E831" t="s">
        <v>1550</v>
      </c>
      <c r="F831" s="4">
        <v>46166</v>
      </c>
      <c r="G831" t="s">
        <v>1049</v>
      </c>
      <c r="H831" t="s">
        <v>21</v>
      </c>
      <c r="I831" t="s">
        <v>956</v>
      </c>
      <c r="N831" t="s">
        <v>1551</v>
      </c>
      <c r="P831" s="38">
        <f>O831-O831*0.17</f>
        <v>0</v>
      </c>
      <c r="Q831" s="45" t="e">
        <f>P831/O831</f>
        <v>#DIV/0!</v>
      </c>
      <c r="U831" s="9" t="s">
        <v>286</v>
      </c>
    </row>
    <row r="832" spans="1:21" ht="14.5" x14ac:dyDescent="0.35">
      <c r="A832" t="s">
        <v>24</v>
      </c>
      <c r="B832" t="s">
        <v>25</v>
      </c>
      <c r="D832" s="19" t="s">
        <v>1606</v>
      </c>
      <c r="E832" s="16" t="s">
        <v>1607</v>
      </c>
      <c r="F832" s="17">
        <v>46027</v>
      </c>
      <c r="G832" t="s">
        <v>757</v>
      </c>
      <c r="I832" t="s">
        <v>22</v>
      </c>
      <c r="K832" t="s">
        <v>35</v>
      </c>
      <c r="L832" t="s">
        <v>35</v>
      </c>
      <c r="M832" t="s">
        <v>35</v>
      </c>
      <c r="N832" t="s">
        <v>1608</v>
      </c>
      <c r="P832" s="38">
        <f>O832-O832*0.17</f>
        <v>0</v>
      </c>
      <c r="Q832" s="45" t="e">
        <f>P832/O832</f>
        <v>#DIV/0!</v>
      </c>
    </row>
    <row r="833" spans="1:21" ht="14.5" x14ac:dyDescent="0.35">
      <c r="A833" t="s">
        <v>24</v>
      </c>
      <c r="B833" t="s">
        <v>25</v>
      </c>
      <c r="D833" s="19" t="s">
        <v>638</v>
      </c>
      <c r="E833" s="16" t="s">
        <v>1633</v>
      </c>
      <c r="F833" s="17">
        <v>46088</v>
      </c>
      <c r="G833" t="s">
        <v>757</v>
      </c>
      <c r="I833" t="s">
        <v>22</v>
      </c>
      <c r="P833" s="38">
        <f>O833-O833*0.17</f>
        <v>0</v>
      </c>
      <c r="Q833" s="45" t="e">
        <f>P833/O833</f>
        <v>#DIV/0!</v>
      </c>
    </row>
    <row r="834" spans="1:21" ht="14.5" x14ac:dyDescent="0.35">
      <c r="A834" t="s">
        <v>24</v>
      </c>
      <c r="B834" t="s">
        <v>25</v>
      </c>
      <c r="D834" s="19" t="s">
        <v>1198</v>
      </c>
      <c r="E834" s="16" t="s">
        <v>1710</v>
      </c>
      <c r="F834" s="17">
        <v>45928</v>
      </c>
      <c r="G834" t="s">
        <v>757</v>
      </c>
      <c r="I834" t="s">
        <v>22</v>
      </c>
      <c r="K834">
        <v>427</v>
      </c>
      <c r="L834">
        <v>602</v>
      </c>
      <c r="M834" t="s">
        <v>35</v>
      </c>
      <c r="P834" s="38">
        <f>O834-O834*0.17</f>
        <v>0</v>
      </c>
      <c r="Q834" s="45" t="e">
        <f>P834/O834</f>
        <v>#DIV/0!</v>
      </c>
    </row>
    <row r="835" spans="1:21" ht="14.5" x14ac:dyDescent="0.35">
      <c r="A835" t="s">
        <v>459</v>
      </c>
      <c r="B835" t="s">
        <v>25</v>
      </c>
      <c r="D835" t="s">
        <v>1596</v>
      </c>
      <c r="E835" t="s">
        <v>1597</v>
      </c>
      <c r="F835" s="4">
        <v>46355</v>
      </c>
      <c r="G835" t="s">
        <v>999</v>
      </c>
      <c r="H835" t="s">
        <v>21</v>
      </c>
      <c r="I835" t="s">
        <v>1141</v>
      </c>
      <c r="N835" t="s">
        <v>1598</v>
      </c>
      <c r="P835" s="38">
        <f>O835-O835*0.17</f>
        <v>0</v>
      </c>
      <c r="Q835" s="45" t="e">
        <f>P835/O835</f>
        <v>#DIV/0!</v>
      </c>
    </row>
    <row r="836" spans="1:21" ht="14.5" x14ac:dyDescent="0.35">
      <c r="A836" t="s">
        <v>24</v>
      </c>
      <c r="B836" t="s">
        <v>25</v>
      </c>
      <c r="D836" s="16" t="s">
        <v>1730</v>
      </c>
      <c r="E836" s="16" t="s">
        <v>1731</v>
      </c>
      <c r="F836" s="17">
        <v>45998</v>
      </c>
      <c r="G836" s="28" t="s">
        <v>1732</v>
      </c>
      <c r="I836" t="s">
        <v>22</v>
      </c>
      <c r="J836" t="s">
        <v>35</v>
      </c>
      <c r="K836" t="s">
        <v>35</v>
      </c>
      <c r="L836" t="s">
        <v>35</v>
      </c>
      <c r="M836" t="s">
        <v>35</v>
      </c>
      <c r="N836">
        <v>3</v>
      </c>
      <c r="P836" s="38">
        <f>O836-O836*0.17</f>
        <v>0</v>
      </c>
      <c r="Q836" s="45" t="e">
        <f>P836/O836</f>
        <v>#DIV/0!</v>
      </c>
    </row>
    <row r="837" spans="1:21" ht="14.5" x14ac:dyDescent="0.35">
      <c r="A837" t="s">
        <v>24</v>
      </c>
      <c r="B837" t="s">
        <v>25</v>
      </c>
      <c r="D837" s="16" t="s">
        <v>1704</v>
      </c>
      <c r="E837" s="16" t="s">
        <v>1705</v>
      </c>
      <c r="F837" s="17">
        <v>45921</v>
      </c>
      <c r="G837" s="28" t="s">
        <v>1706</v>
      </c>
      <c r="I837" t="s">
        <v>22</v>
      </c>
      <c r="K837" t="s">
        <v>35</v>
      </c>
      <c r="L837" t="s">
        <v>35</v>
      </c>
      <c r="M837" t="s">
        <v>35</v>
      </c>
      <c r="P837" s="38">
        <f>O837-O837*0.17</f>
        <v>0</v>
      </c>
      <c r="Q837" s="45" t="e">
        <f>P837/O837</f>
        <v>#DIV/0!</v>
      </c>
    </row>
    <row r="838" spans="1:21" ht="14.5" x14ac:dyDescent="0.35">
      <c r="A838" t="s">
        <v>131</v>
      </c>
      <c r="B838" t="s">
        <v>25</v>
      </c>
      <c r="D838" t="s">
        <v>1575</v>
      </c>
      <c r="E838" t="s">
        <v>1576</v>
      </c>
      <c r="F838" s="4">
        <v>46068</v>
      </c>
      <c r="G838" t="s">
        <v>3</v>
      </c>
      <c r="H838" t="s">
        <v>21</v>
      </c>
      <c r="I838" t="s">
        <v>22</v>
      </c>
      <c r="J838" t="s">
        <v>35</v>
      </c>
      <c r="N838" t="s">
        <v>495</v>
      </c>
      <c r="P838" s="38">
        <f>O838-O838*0.17</f>
        <v>0</v>
      </c>
      <c r="Q838" s="45" t="e">
        <f>P838/O838</f>
        <v>#DIV/0!</v>
      </c>
    </row>
    <row r="839" spans="1:21" ht="14.5" x14ac:dyDescent="0.35">
      <c r="A839" t="s">
        <v>196</v>
      </c>
      <c r="B839" t="s">
        <v>25</v>
      </c>
      <c r="D839" t="s">
        <v>2045</v>
      </c>
      <c r="E839" t="s">
        <v>2046</v>
      </c>
      <c r="F839" s="4">
        <v>46320</v>
      </c>
      <c r="G839" t="s">
        <v>3</v>
      </c>
      <c r="H839" t="s">
        <v>21</v>
      </c>
      <c r="I839" t="s">
        <v>22</v>
      </c>
      <c r="J839" t="s">
        <v>35</v>
      </c>
      <c r="K839" t="s">
        <v>35</v>
      </c>
      <c r="P839" s="38">
        <f>O839-O839*0.17</f>
        <v>0</v>
      </c>
      <c r="Q839" s="45" t="e">
        <f>P839/O839</f>
        <v>#DIV/0!</v>
      </c>
    </row>
    <row r="840" spans="1:21" ht="14.5" x14ac:dyDescent="0.35">
      <c r="A840" t="s">
        <v>124</v>
      </c>
      <c r="B840" t="s">
        <v>40</v>
      </c>
      <c r="D840" t="s">
        <v>1583</v>
      </c>
      <c r="E840" t="s">
        <v>1584</v>
      </c>
      <c r="F840" s="4">
        <v>46137</v>
      </c>
      <c r="G840" t="s">
        <v>3</v>
      </c>
      <c r="H840" t="s">
        <v>21</v>
      </c>
      <c r="I840" t="s">
        <v>22</v>
      </c>
      <c r="K840" t="s">
        <v>35</v>
      </c>
      <c r="P840" s="38">
        <f>O840-O840*0.17</f>
        <v>0</v>
      </c>
      <c r="Q840" s="45" t="e">
        <f>P840/O840</f>
        <v>#DIV/0!</v>
      </c>
    </row>
    <row r="841" spans="1:21" ht="14.5" x14ac:dyDescent="0.35">
      <c r="A841" t="s">
        <v>124</v>
      </c>
      <c r="B841" t="s">
        <v>40</v>
      </c>
      <c r="D841" t="s">
        <v>1585</v>
      </c>
      <c r="E841" t="s">
        <v>1586</v>
      </c>
      <c r="F841" s="4">
        <v>46305</v>
      </c>
      <c r="G841" t="s">
        <v>3</v>
      </c>
      <c r="H841" t="s">
        <v>21</v>
      </c>
      <c r="I841" t="s">
        <v>22</v>
      </c>
      <c r="K841" t="s">
        <v>35</v>
      </c>
      <c r="P841" s="38">
        <f>O841-O841*0.17</f>
        <v>0</v>
      </c>
      <c r="Q841" s="45" t="e">
        <f>P841/O841</f>
        <v>#DIV/0!</v>
      </c>
    </row>
    <row r="842" spans="1:21" ht="14.5" x14ac:dyDescent="0.35">
      <c r="A842" t="s">
        <v>24</v>
      </c>
      <c r="B842" t="s">
        <v>25</v>
      </c>
      <c r="D842" s="16" t="s">
        <v>1753</v>
      </c>
      <c r="E842" s="3" t="s">
        <v>1754</v>
      </c>
      <c r="F842" s="23">
        <v>45788</v>
      </c>
      <c r="G842" t="s">
        <v>1755</v>
      </c>
      <c r="I842" t="s">
        <v>956</v>
      </c>
      <c r="P842" s="38">
        <f>O842-O842*0.17</f>
        <v>0</v>
      </c>
      <c r="Q842" s="45" t="e">
        <f>P842/O842</f>
        <v>#DIV/0!</v>
      </c>
    </row>
    <row r="843" spans="1:21" ht="14.5" x14ac:dyDescent="0.35">
      <c r="A843" t="s">
        <v>24</v>
      </c>
      <c r="B843" t="s">
        <v>25</v>
      </c>
      <c r="D843" s="16" t="s">
        <v>1627</v>
      </c>
      <c r="E843" s="16" t="s">
        <v>1628</v>
      </c>
      <c r="F843" s="17">
        <v>46082</v>
      </c>
      <c r="G843" s="28" t="s">
        <v>1629</v>
      </c>
      <c r="I843" t="s">
        <v>22</v>
      </c>
      <c r="K843" t="s">
        <v>35</v>
      </c>
      <c r="L843" t="s">
        <v>35</v>
      </c>
      <c r="M843" t="s">
        <v>35</v>
      </c>
      <c r="N843">
        <v>4</v>
      </c>
      <c r="P843" s="38">
        <f>O843-O843*0.17</f>
        <v>0</v>
      </c>
      <c r="Q843" s="45" t="e">
        <f>P843/O843</f>
        <v>#DIV/0!</v>
      </c>
    </row>
    <row r="844" spans="1:21" ht="14.5" x14ac:dyDescent="0.35">
      <c r="A844" t="s">
        <v>24</v>
      </c>
      <c r="B844" t="s">
        <v>25</v>
      </c>
      <c r="D844" s="16" t="s">
        <v>26</v>
      </c>
      <c r="E844" s="16" t="s">
        <v>1695</v>
      </c>
      <c r="F844" s="17">
        <v>45893</v>
      </c>
      <c r="G844" s="28" t="s">
        <v>1629</v>
      </c>
      <c r="I844" t="s">
        <v>22</v>
      </c>
      <c r="L844" t="s">
        <v>35</v>
      </c>
      <c r="P844" s="38">
        <f>O844-O844*0.17</f>
        <v>0</v>
      </c>
      <c r="Q844" s="45" t="e">
        <f>P844/O844</f>
        <v>#DIV/0!</v>
      </c>
    </row>
    <row r="845" spans="1:21" ht="14.5" x14ac:dyDescent="0.35">
      <c r="A845" t="s">
        <v>249</v>
      </c>
      <c r="B845" t="s">
        <v>50</v>
      </c>
      <c r="D845" t="s">
        <v>950</v>
      </c>
      <c r="E845" t="s">
        <v>1538</v>
      </c>
      <c r="F845" s="4">
        <v>46103</v>
      </c>
      <c r="I845" t="s">
        <v>1141</v>
      </c>
      <c r="N845" t="s">
        <v>1539</v>
      </c>
      <c r="P845" s="38">
        <f>O845-O845*0.17</f>
        <v>0</v>
      </c>
      <c r="Q845" s="45" t="e">
        <f>P845/O845</f>
        <v>#DIV/0!</v>
      </c>
    </row>
    <row r="846" spans="1:21" ht="14.5" x14ac:dyDescent="0.35">
      <c r="A846" t="s">
        <v>49</v>
      </c>
      <c r="B846" t="s">
        <v>50</v>
      </c>
      <c r="D846" t="s">
        <v>1542</v>
      </c>
      <c r="E846" t="s">
        <v>1543</v>
      </c>
      <c r="I846" t="s">
        <v>1141</v>
      </c>
      <c r="P846" s="38">
        <f>O846-O846*0.17</f>
        <v>0</v>
      </c>
      <c r="Q846" s="45" t="e">
        <f>P846/O846</f>
        <v>#DIV/0!</v>
      </c>
    </row>
    <row r="847" spans="1:21" ht="14.5" x14ac:dyDescent="0.35">
      <c r="A847" t="s">
        <v>36</v>
      </c>
      <c r="B847" t="s">
        <v>25</v>
      </c>
      <c r="D847" t="s">
        <v>36</v>
      </c>
      <c r="E847" t="s">
        <v>1577</v>
      </c>
      <c r="F847" s="4"/>
      <c r="I847" t="s">
        <v>1141</v>
      </c>
      <c r="O847" s="30"/>
      <c r="P847" s="38">
        <f>O847-O847*0.17</f>
        <v>0</v>
      </c>
      <c r="Q847" s="45" t="e">
        <f>P847/O847</f>
        <v>#DIV/0!</v>
      </c>
      <c r="U847" t="s">
        <v>1578</v>
      </c>
    </row>
    <row r="848" spans="1:21" ht="14.5" x14ac:dyDescent="0.35">
      <c r="A848" t="s">
        <v>24</v>
      </c>
      <c r="B848" t="s">
        <v>25</v>
      </c>
      <c r="D848" s="16" t="s">
        <v>26</v>
      </c>
      <c r="E848" s="16" t="s">
        <v>1635</v>
      </c>
      <c r="F848" s="17">
        <v>46089</v>
      </c>
      <c r="G848" s="28"/>
      <c r="I848" t="s">
        <v>22</v>
      </c>
      <c r="K848" t="s">
        <v>35</v>
      </c>
      <c r="L848" t="s">
        <v>35</v>
      </c>
      <c r="M848" t="s">
        <v>35</v>
      </c>
      <c r="P848" s="38">
        <f>O848-O848*0.17</f>
        <v>0</v>
      </c>
      <c r="Q848" s="45" t="e">
        <f>P848/O848</f>
        <v>#DIV/0!</v>
      </c>
    </row>
    <row r="849" spans="1:21" ht="15" customHeight="1" x14ac:dyDescent="0.35">
      <c r="A849" t="s">
        <v>24</v>
      </c>
      <c r="B849" t="s">
        <v>25</v>
      </c>
      <c r="D849" s="16" t="s">
        <v>1646</v>
      </c>
      <c r="E849" s="16" t="s">
        <v>1647</v>
      </c>
      <c r="F849" s="17">
        <v>46117</v>
      </c>
      <c r="G849" s="28"/>
      <c r="I849" t="s">
        <v>22</v>
      </c>
      <c r="K849" t="s">
        <v>35</v>
      </c>
      <c r="L849" t="s">
        <v>35</v>
      </c>
      <c r="M849" t="s">
        <v>35</v>
      </c>
      <c r="P849" s="38">
        <f>O849-O849*0.17</f>
        <v>0</v>
      </c>
      <c r="Q849" s="45" t="e">
        <f>P849/O849</f>
        <v>#DIV/0!</v>
      </c>
    </row>
    <row r="850" spans="1:21" ht="15" customHeight="1" x14ac:dyDescent="0.35">
      <c r="A850" t="s">
        <v>24</v>
      </c>
      <c r="B850" t="s">
        <v>25</v>
      </c>
      <c r="D850" s="16" t="s">
        <v>638</v>
      </c>
      <c r="E850" s="16" t="s">
        <v>1657</v>
      </c>
      <c r="F850" s="17">
        <v>46124</v>
      </c>
      <c r="G850" s="28"/>
      <c r="I850" t="s">
        <v>22</v>
      </c>
      <c r="K850" t="s">
        <v>35</v>
      </c>
      <c r="L850" t="s">
        <v>35</v>
      </c>
      <c r="M850" t="s">
        <v>35</v>
      </c>
      <c r="P850" s="38">
        <f>O850-O850*0.17</f>
        <v>0</v>
      </c>
      <c r="Q850" s="45" t="e">
        <f>P850/O850</f>
        <v>#DIV/0!</v>
      </c>
    </row>
    <row r="851" spans="1:21" ht="15" customHeight="1" x14ac:dyDescent="0.35">
      <c r="A851" t="s">
        <v>24</v>
      </c>
      <c r="B851" t="s">
        <v>25</v>
      </c>
      <c r="D851" s="16" t="s">
        <v>26</v>
      </c>
      <c r="E851" s="16" t="s">
        <v>1663</v>
      </c>
      <c r="F851" s="17">
        <v>46131</v>
      </c>
      <c r="G851" s="28"/>
      <c r="I851" t="s">
        <v>22</v>
      </c>
      <c r="K851" t="s">
        <v>35</v>
      </c>
      <c r="L851" t="s">
        <v>35</v>
      </c>
      <c r="M851" t="s">
        <v>35</v>
      </c>
      <c r="P851" s="38">
        <f>O851-O851*0.17</f>
        <v>0</v>
      </c>
      <c r="Q851" s="45" t="e">
        <f>P851/O851</f>
        <v>#DIV/0!</v>
      </c>
    </row>
    <row r="852" spans="1:21" ht="15" customHeight="1" x14ac:dyDescent="0.35">
      <c r="A852" t="s">
        <v>24</v>
      </c>
      <c r="B852" t="s">
        <v>25</v>
      </c>
      <c r="D852" s="16" t="s">
        <v>638</v>
      </c>
      <c r="E852" s="16" t="s">
        <v>1664</v>
      </c>
      <c r="F852" s="17">
        <v>46138</v>
      </c>
      <c r="G852" s="28"/>
      <c r="I852" t="s">
        <v>22</v>
      </c>
      <c r="K852" t="s">
        <v>35</v>
      </c>
      <c r="L852" t="s">
        <v>35</v>
      </c>
      <c r="M852" t="s">
        <v>35</v>
      </c>
      <c r="P852" s="38">
        <f>O852-O852*0.17</f>
        <v>0</v>
      </c>
      <c r="Q852" s="45" t="e">
        <f>P852/O852</f>
        <v>#DIV/0!</v>
      </c>
    </row>
    <row r="853" spans="1:21" ht="15" customHeight="1" x14ac:dyDescent="0.35">
      <c r="A853" t="s">
        <v>24</v>
      </c>
      <c r="B853" t="s">
        <v>25</v>
      </c>
      <c r="D853" s="16" t="s">
        <v>26</v>
      </c>
      <c r="E853" s="16" t="s">
        <v>1665</v>
      </c>
      <c r="F853" s="17">
        <v>46138</v>
      </c>
      <c r="G853" s="28"/>
      <c r="I853" t="s">
        <v>22</v>
      </c>
      <c r="K853" t="s">
        <v>35</v>
      </c>
      <c r="L853" t="s">
        <v>35</v>
      </c>
      <c r="M853" t="s">
        <v>35</v>
      </c>
      <c r="P853" s="38">
        <f>O853-O853*0.17</f>
        <v>0</v>
      </c>
      <c r="Q853" s="45" t="e">
        <f>P853/O853</f>
        <v>#DIV/0!</v>
      </c>
    </row>
    <row r="854" spans="1:21" ht="15" customHeight="1" x14ac:dyDescent="0.35">
      <c r="A854" t="s">
        <v>24</v>
      </c>
      <c r="B854" t="s">
        <v>25</v>
      </c>
      <c r="D854" s="16" t="s">
        <v>1061</v>
      </c>
      <c r="E854" s="16" t="s">
        <v>1697</v>
      </c>
      <c r="F854" s="17">
        <v>45900</v>
      </c>
      <c r="G854" s="28"/>
      <c r="I854" t="s">
        <v>22</v>
      </c>
      <c r="L854" t="s">
        <v>35</v>
      </c>
      <c r="M854" t="s">
        <v>35</v>
      </c>
      <c r="N854">
        <v>3</v>
      </c>
      <c r="P854" s="38">
        <f>O854-O854*0.17</f>
        <v>0</v>
      </c>
      <c r="Q854" s="45" t="e">
        <f>P854/O854</f>
        <v>#DIV/0!</v>
      </c>
    </row>
    <row r="855" spans="1:21" ht="15" customHeight="1" x14ac:dyDescent="0.35">
      <c r="A855" t="s">
        <v>24</v>
      </c>
      <c r="B855" t="s">
        <v>25</v>
      </c>
      <c r="D855" s="16" t="s">
        <v>638</v>
      </c>
      <c r="E855" s="16" t="s">
        <v>1720</v>
      </c>
      <c r="F855" s="17">
        <v>46327</v>
      </c>
      <c r="G855" s="28"/>
      <c r="I855" t="s">
        <v>22</v>
      </c>
      <c r="K855" t="s">
        <v>35</v>
      </c>
      <c r="L855" t="s">
        <v>35</v>
      </c>
      <c r="M855" t="s">
        <v>35</v>
      </c>
      <c r="P855" s="38">
        <f>O855-O855*0.17</f>
        <v>0</v>
      </c>
      <c r="Q855" s="45" t="e">
        <f>P855/O855</f>
        <v>#DIV/0!</v>
      </c>
    </row>
    <row r="856" spans="1:21" ht="15" customHeight="1" x14ac:dyDescent="0.35">
      <c r="A856" t="s">
        <v>24</v>
      </c>
      <c r="B856" t="s">
        <v>25</v>
      </c>
      <c r="D856" s="16" t="s">
        <v>26</v>
      </c>
      <c r="E856" s="16" t="s">
        <v>1747</v>
      </c>
      <c r="F856" s="17">
        <v>46019</v>
      </c>
      <c r="G856" s="28"/>
      <c r="I856" t="s">
        <v>22</v>
      </c>
      <c r="K856" t="s">
        <v>35</v>
      </c>
      <c r="L856" t="s">
        <v>35</v>
      </c>
      <c r="M856" t="s">
        <v>35</v>
      </c>
      <c r="P856" s="38">
        <f>O856-O856*0.17</f>
        <v>0</v>
      </c>
      <c r="Q856" s="45" t="e">
        <f>P856/O856</f>
        <v>#DIV/0!</v>
      </c>
    </row>
    <row r="857" spans="1:21" ht="15" customHeight="1" x14ac:dyDescent="0.35">
      <c r="A857" t="s">
        <v>196</v>
      </c>
      <c r="B857" t="s">
        <v>25</v>
      </c>
      <c r="D857" t="s">
        <v>2024</v>
      </c>
      <c r="E857" t="s">
        <v>2026</v>
      </c>
      <c r="F857" s="4">
        <v>46138</v>
      </c>
      <c r="I857" t="s">
        <v>22</v>
      </c>
      <c r="J857" t="s">
        <v>35</v>
      </c>
      <c r="K857" t="s">
        <v>35</v>
      </c>
      <c r="P857" s="38">
        <f>O857-O857*0.17</f>
        <v>0</v>
      </c>
      <c r="Q857" s="45" t="e">
        <f>P857/O857</f>
        <v>#DIV/0!</v>
      </c>
    </row>
    <row r="858" spans="1:21" s="34" customFormat="1" ht="14.5" x14ac:dyDescent="0.35">
      <c r="A858" t="s">
        <v>2036</v>
      </c>
      <c r="B858" t="s">
        <v>25</v>
      </c>
      <c r="C858"/>
      <c r="D858" t="s">
        <v>2037</v>
      </c>
      <c r="E858" t="s">
        <v>2038</v>
      </c>
      <c r="F858" s="4">
        <v>46284</v>
      </c>
      <c r="G858"/>
      <c r="H858"/>
      <c r="I858" t="s">
        <v>22</v>
      </c>
      <c r="J858" t="s">
        <v>35</v>
      </c>
      <c r="K858" t="s">
        <v>35</v>
      </c>
      <c r="L858" t="s">
        <v>35</v>
      </c>
      <c r="M858" t="s">
        <v>35</v>
      </c>
      <c r="N858"/>
      <c r="O858" s="15"/>
      <c r="P858" s="38">
        <f>O858-O858*0.17</f>
        <v>0</v>
      </c>
      <c r="Q858" s="45" t="e">
        <f>P858/O858</f>
        <v>#DIV/0!</v>
      </c>
      <c r="R858" s="15"/>
      <c r="S858" s="15"/>
      <c r="T858"/>
      <c r="U858"/>
    </row>
    <row r="859" spans="1:21" s="34" customFormat="1" ht="14.5" x14ac:dyDescent="0.35">
      <c r="A859" t="s">
        <v>196</v>
      </c>
      <c r="B859" t="s">
        <v>25</v>
      </c>
      <c r="C859"/>
      <c r="D859" t="s">
        <v>2039</v>
      </c>
      <c r="E859" t="s">
        <v>2040</v>
      </c>
      <c r="F859"/>
      <c r="G859"/>
      <c r="H859"/>
      <c r="I859" t="s">
        <v>22</v>
      </c>
      <c r="J859" t="s">
        <v>35</v>
      </c>
      <c r="K859" t="s">
        <v>35</v>
      </c>
      <c r="L859" t="s">
        <v>35</v>
      </c>
      <c r="M859"/>
      <c r="N859"/>
      <c r="O859" s="15"/>
      <c r="P859" s="38">
        <f>O859-O859*0.17</f>
        <v>0</v>
      </c>
      <c r="Q859" s="45" t="e">
        <f>P859/O859</f>
        <v>#DIV/0!</v>
      </c>
      <c r="R859" s="15"/>
      <c r="S859" s="15"/>
      <c r="T859"/>
      <c r="U859"/>
    </row>
    <row r="860" spans="1:21" s="34" customFormat="1" ht="14.5" x14ac:dyDescent="0.35">
      <c r="A860" t="s">
        <v>196</v>
      </c>
      <c r="B860" t="s">
        <v>25</v>
      </c>
      <c r="C860"/>
      <c r="D860" t="s">
        <v>2041</v>
      </c>
      <c r="E860" t="s">
        <v>2042</v>
      </c>
      <c r="F860" s="4">
        <v>46159</v>
      </c>
      <c r="G860"/>
      <c r="H860"/>
      <c r="I860" t="s">
        <v>22</v>
      </c>
      <c r="J860" t="s">
        <v>35</v>
      </c>
      <c r="K860" t="s">
        <v>35</v>
      </c>
      <c r="L860"/>
      <c r="M860" t="s">
        <v>35</v>
      </c>
      <c r="N860"/>
      <c r="O860" s="15"/>
      <c r="P860" s="38">
        <f>O860-O860*0.17</f>
        <v>0</v>
      </c>
      <c r="Q860" s="45" t="e">
        <f>P860/O860</f>
        <v>#DIV/0!</v>
      </c>
      <c r="R860" s="15"/>
      <c r="S860" s="15"/>
      <c r="T860"/>
      <c r="U860"/>
    </row>
    <row r="861" spans="1:21" s="34" customFormat="1" ht="14.5" x14ac:dyDescent="0.35">
      <c r="A861" t="s">
        <v>196</v>
      </c>
      <c r="B861" t="s">
        <v>25</v>
      </c>
      <c r="C861"/>
      <c r="D861" t="s">
        <v>2043</v>
      </c>
      <c r="E861" t="s">
        <v>2044</v>
      </c>
      <c r="F861"/>
      <c r="G861"/>
      <c r="H861"/>
      <c r="I861" t="s">
        <v>22</v>
      </c>
      <c r="J861" t="s">
        <v>35</v>
      </c>
      <c r="K861" t="s">
        <v>35</v>
      </c>
      <c r="L861"/>
      <c r="M861"/>
      <c r="N861"/>
      <c r="O861" s="15"/>
      <c r="P861" s="38">
        <f>O861-O861*0.17</f>
        <v>0</v>
      </c>
      <c r="Q861" s="45" t="e">
        <f>P861/O861</f>
        <v>#DIV/0!</v>
      </c>
      <c r="R861" s="15"/>
      <c r="S861" s="15"/>
      <c r="T861"/>
      <c r="U861"/>
    </row>
    <row r="862" spans="1:21" s="34" customFormat="1" ht="14.5" x14ac:dyDescent="0.35">
      <c r="A862" t="s">
        <v>196</v>
      </c>
      <c r="B862" t="s">
        <v>25</v>
      </c>
      <c r="C862"/>
      <c r="D862" t="s">
        <v>2047</v>
      </c>
      <c r="E862" t="s">
        <v>2048</v>
      </c>
      <c r="F862"/>
      <c r="G862"/>
      <c r="H862"/>
      <c r="I862" t="s">
        <v>22</v>
      </c>
      <c r="J862" t="s">
        <v>35</v>
      </c>
      <c r="K862" t="s">
        <v>35</v>
      </c>
      <c r="L862"/>
      <c r="M862"/>
      <c r="N862">
        <v>7</v>
      </c>
      <c r="O862" s="15"/>
      <c r="P862" s="38">
        <f>O862-O862*0.17</f>
        <v>0</v>
      </c>
      <c r="Q862" s="45" t="e">
        <f>P862/O862</f>
        <v>#DIV/0!</v>
      </c>
      <c r="R862" s="15"/>
      <c r="S862" s="15"/>
      <c r="T862"/>
      <c r="U862"/>
    </row>
    <row r="863" spans="1:21" s="34" customFormat="1" ht="14.5" x14ac:dyDescent="0.35">
      <c r="A863" t="s">
        <v>196</v>
      </c>
      <c r="B863" t="s">
        <v>25</v>
      </c>
      <c r="C863"/>
      <c r="D863" t="s">
        <v>2049</v>
      </c>
      <c r="E863" t="s">
        <v>2050</v>
      </c>
      <c r="F863" s="4">
        <v>46327</v>
      </c>
      <c r="G863"/>
      <c r="H863"/>
      <c r="I863" t="s">
        <v>22</v>
      </c>
      <c r="J863" t="s">
        <v>35</v>
      </c>
      <c r="K863" t="s">
        <v>35</v>
      </c>
      <c r="L863" t="s">
        <v>35</v>
      </c>
      <c r="M863" t="s">
        <v>35</v>
      </c>
      <c r="N863"/>
      <c r="O863" s="15"/>
      <c r="P863" s="38">
        <f>O863-O863*0.17</f>
        <v>0</v>
      </c>
      <c r="Q863" s="45" t="e">
        <f>P863/O863</f>
        <v>#DIV/0!</v>
      </c>
      <c r="R863" s="15"/>
      <c r="S863" s="15"/>
      <c r="T863"/>
      <c r="U863"/>
    </row>
    <row r="864" spans="1:21" s="34" customFormat="1" ht="14.5" x14ac:dyDescent="0.35">
      <c r="A864" t="s">
        <v>196</v>
      </c>
      <c r="B864" t="s">
        <v>25</v>
      </c>
      <c r="C864"/>
      <c r="D864" t="s">
        <v>2051</v>
      </c>
      <c r="E864" t="s">
        <v>2052</v>
      </c>
      <c r="F864" s="4">
        <v>46348</v>
      </c>
      <c r="G864"/>
      <c r="H864"/>
      <c r="I864" t="s">
        <v>22</v>
      </c>
      <c r="J864" t="s">
        <v>35</v>
      </c>
      <c r="K864" t="s">
        <v>35</v>
      </c>
      <c r="L864"/>
      <c r="M864"/>
      <c r="N864"/>
      <c r="O864" s="15"/>
      <c r="P864" s="38">
        <f>O864-O864*0.17</f>
        <v>0</v>
      </c>
      <c r="Q864" s="45" t="e">
        <f>P864/O864</f>
        <v>#DIV/0!</v>
      </c>
      <c r="R864" s="15"/>
      <c r="S864" s="15"/>
      <c r="T864"/>
      <c r="U864"/>
    </row>
    <row r="865" spans="1:21" s="34" customFormat="1" ht="14.5" x14ac:dyDescent="0.35">
      <c r="A865" t="s">
        <v>737</v>
      </c>
      <c r="B865" t="s">
        <v>25</v>
      </c>
      <c r="C865"/>
      <c r="D865" t="s">
        <v>2053</v>
      </c>
      <c r="E865" t="s">
        <v>2054</v>
      </c>
      <c r="F865" s="4">
        <v>46138</v>
      </c>
      <c r="G865"/>
      <c r="H865"/>
      <c r="I865" t="s">
        <v>22</v>
      </c>
      <c r="J865"/>
      <c r="K865" t="s">
        <v>35</v>
      </c>
      <c r="L865" t="s">
        <v>35</v>
      </c>
      <c r="M865" t="s">
        <v>35</v>
      </c>
      <c r="N865"/>
      <c r="O865" s="15"/>
      <c r="P865" s="38">
        <f>O865-O865*0.17</f>
        <v>0</v>
      </c>
      <c r="Q865" s="45" t="e">
        <f>P865/O865</f>
        <v>#DIV/0!</v>
      </c>
      <c r="R865" s="15"/>
      <c r="S865" s="15"/>
      <c r="T865"/>
      <c r="U865"/>
    </row>
    <row r="866" spans="1:21" s="34" customFormat="1" ht="14.5" x14ac:dyDescent="0.35">
      <c r="A866" t="s">
        <v>737</v>
      </c>
      <c r="B866" t="s">
        <v>25</v>
      </c>
      <c r="C866"/>
      <c r="D866" t="s">
        <v>2061</v>
      </c>
      <c r="E866" t="s">
        <v>2062</v>
      </c>
      <c r="F866"/>
      <c r="G866"/>
      <c r="H866"/>
      <c r="I866" t="s">
        <v>22</v>
      </c>
      <c r="J866" t="s">
        <v>35</v>
      </c>
      <c r="K866" t="s">
        <v>35</v>
      </c>
      <c r="L866" t="s">
        <v>35</v>
      </c>
      <c r="M866" t="s">
        <v>35</v>
      </c>
      <c r="N866"/>
      <c r="O866" s="15"/>
      <c r="P866" s="38">
        <f>O866-O866*0.17</f>
        <v>0</v>
      </c>
      <c r="Q866" s="45" t="e">
        <f>P866/O866</f>
        <v>#DIV/0!</v>
      </c>
      <c r="R866" s="15"/>
      <c r="S866" s="15"/>
      <c r="T866"/>
      <c r="U866"/>
    </row>
    <row r="867" spans="1:21" s="34" customFormat="1" ht="14.5" x14ac:dyDescent="0.35">
      <c r="A867" t="s">
        <v>196</v>
      </c>
      <c r="B867" t="s">
        <v>25</v>
      </c>
      <c r="C867"/>
      <c r="D867" t="s">
        <v>2063</v>
      </c>
      <c r="E867" t="s">
        <v>2064</v>
      </c>
      <c r="F867"/>
      <c r="G867"/>
      <c r="H867"/>
      <c r="I867" t="s">
        <v>22</v>
      </c>
      <c r="J867"/>
      <c r="K867"/>
      <c r="L867"/>
      <c r="M867"/>
      <c r="N867"/>
      <c r="O867" s="15"/>
      <c r="P867" s="38">
        <f>O867-O867*0.17</f>
        <v>0</v>
      </c>
      <c r="Q867" s="45" t="e">
        <f>P867/O867</f>
        <v>#DIV/0!</v>
      </c>
      <c r="R867" s="15"/>
      <c r="S867" s="15"/>
      <c r="T867"/>
      <c r="U867"/>
    </row>
    <row r="868" spans="1:21" s="34" customFormat="1" ht="14.5" x14ac:dyDescent="0.35">
      <c r="A868" t="s">
        <v>196</v>
      </c>
      <c r="B868" t="s">
        <v>25</v>
      </c>
      <c r="C868"/>
      <c r="D868" t="s">
        <v>2065</v>
      </c>
      <c r="E868" t="s">
        <v>2066</v>
      </c>
      <c r="F868"/>
      <c r="G868"/>
      <c r="H868"/>
      <c r="I868" t="s">
        <v>22</v>
      </c>
      <c r="J868" t="s">
        <v>35</v>
      </c>
      <c r="K868" t="s">
        <v>35</v>
      </c>
      <c r="L868" t="s">
        <v>35</v>
      </c>
      <c r="M868"/>
      <c r="N868"/>
      <c r="O868" s="15"/>
      <c r="P868" s="38">
        <f>O868-O868*0.17</f>
        <v>0</v>
      </c>
      <c r="Q868" s="45" t="e">
        <f>P868/O868</f>
        <v>#DIV/0!</v>
      </c>
      <c r="R868" s="15"/>
      <c r="S868" s="15"/>
      <c r="T868"/>
      <c r="U868"/>
    </row>
    <row r="869" spans="1:21" s="34" customFormat="1" ht="14.5" x14ac:dyDescent="0.35">
      <c r="A869" t="s">
        <v>63</v>
      </c>
      <c r="B869" t="s">
        <v>40</v>
      </c>
      <c r="C869"/>
      <c r="D869" t="s">
        <v>1544</v>
      </c>
      <c r="E869" t="s">
        <v>1545</v>
      </c>
      <c r="F869" s="4">
        <v>46206</v>
      </c>
      <c r="G869"/>
      <c r="H869"/>
      <c r="I869" t="s">
        <v>956</v>
      </c>
      <c r="J869"/>
      <c r="K869"/>
      <c r="L869"/>
      <c r="M869"/>
      <c r="N869" t="s">
        <v>1546</v>
      </c>
      <c r="O869" s="15"/>
      <c r="P869" s="38">
        <f>O869-O869*0.17</f>
        <v>0</v>
      </c>
      <c r="Q869" s="45" t="e">
        <f>P869/O869</f>
        <v>#DIV/0!</v>
      </c>
      <c r="R869" s="15"/>
      <c r="S869" s="15"/>
      <c r="T869"/>
      <c r="U869"/>
    </row>
    <row r="870" spans="1:21" s="34" customFormat="1" ht="14.5" x14ac:dyDescent="0.35">
      <c r="A870" t="s">
        <v>66</v>
      </c>
      <c r="B870" t="s">
        <v>40</v>
      </c>
      <c r="C870"/>
      <c r="D870" t="s">
        <v>1552</v>
      </c>
      <c r="E870" t="s">
        <v>1553</v>
      </c>
      <c r="F870" s="4">
        <v>46278</v>
      </c>
      <c r="G870"/>
      <c r="H870"/>
      <c r="I870" t="s">
        <v>22</v>
      </c>
      <c r="J870" t="s">
        <v>35</v>
      </c>
      <c r="K870" t="s">
        <v>35</v>
      </c>
      <c r="L870" t="s">
        <v>35</v>
      </c>
      <c r="M870"/>
      <c r="N870"/>
      <c r="O870" s="15"/>
      <c r="P870" s="38">
        <f>O870-O870*0.17</f>
        <v>0</v>
      </c>
      <c r="Q870" s="45" t="e">
        <f>P870/O870</f>
        <v>#DIV/0!</v>
      </c>
      <c r="R870" s="15"/>
      <c r="S870" s="15"/>
      <c r="T870"/>
      <c r="U870"/>
    </row>
    <row r="871" spans="1:21" s="34" customFormat="1" ht="14.5" x14ac:dyDescent="0.35">
      <c r="A871" t="s">
        <v>124</v>
      </c>
      <c r="B871" t="s">
        <v>40</v>
      </c>
      <c r="C871"/>
      <c r="D871" t="s">
        <v>1573</v>
      </c>
      <c r="E871" t="s">
        <v>1574</v>
      </c>
      <c r="F871"/>
      <c r="G871"/>
      <c r="H871"/>
      <c r="I871" t="s">
        <v>22</v>
      </c>
      <c r="J871"/>
      <c r="K871"/>
      <c r="L871"/>
      <c r="M871"/>
      <c r="N871"/>
      <c r="O871" s="15"/>
      <c r="P871" s="38">
        <f>O871-O871*0.17</f>
        <v>0</v>
      </c>
      <c r="Q871" s="45" t="e">
        <f>P871/O871</f>
        <v>#DIV/0!</v>
      </c>
      <c r="R871" s="15"/>
      <c r="S871" s="15"/>
      <c r="T871"/>
      <c r="U871"/>
    </row>
    <row r="872" spans="1:21" s="34" customFormat="1" ht="14.5" x14ac:dyDescent="0.35">
      <c r="A872" t="s">
        <v>1532</v>
      </c>
      <c r="B872" t="s">
        <v>201</v>
      </c>
      <c r="C872"/>
      <c r="D872" t="s">
        <v>1533</v>
      </c>
      <c r="E872" t="s">
        <v>1534</v>
      </c>
      <c r="F872" t="s">
        <v>1535</v>
      </c>
      <c r="G872"/>
      <c r="H872"/>
      <c r="I872" t="s">
        <v>22</v>
      </c>
      <c r="J872" t="s">
        <v>35</v>
      </c>
      <c r="K872" t="s">
        <v>35</v>
      </c>
      <c r="L872"/>
      <c r="M872" t="s">
        <v>35</v>
      </c>
      <c r="N872" t="s">
        <v>1536</v>
      </c>
      <c r="O872" s="15"/>
      <c r="P872" s="38">
        <f>O872-O872*0.17</f>
        <v>0</v>
      </c>
      <c r="Q872" s="45" t="e">
        <f>P872/O872</f>
        <v>#DIV/0!</v>
      </c>
      <c r="R872" s="15"/>
      <c r="S872" s="15"/>
      <c r="T872" s="7"/>
      <c r="U872" s="7"/>
    </row>
    <row r="873" spans="1:21" s="34" customFormat="1" ht="14.5" x14ac:dyDescent="0.35">
      <c r="A873" t="s">
        <v>499</v>
      </c>
      <c r="B873" t="s">
        <v>201</v>
      </c>
      <c r="C873"/>
      <c r="D873" t="s">
        <v>1587</v>
      </c>
      <c r="E873" t="s">
        <v>1588</v>
      </c>
      <c r="F873" s="4">
        <v>46264</v>
      </c>
      <c r="G873"/>
      <c r="H873"/>
      <c r="I873" t="s">
        <v>22</v>
      </c>
      <c r="J873"/>
      <c r="K873" t="s">
        <v>35</v>
      </c>
      <c r="L873" t="s">
        <v>35</v>
      </c>
      <c r="M873"/>
      <c r="N873"/>
      <c r="O873" s="30"/>
      <c r="P873" s="38">
        <f>O873-O873*0.17</f>
        <v>0</v>
      </c>
      <c r="Q873" s="45" t="e">
        <f>P873/O873</f>
        <v>#DIV/0!</v>
      </c>
      <c r="R873" s="15"/>
      <c r="S873" s="15"/>
      <c r="T873" s="7"/>
      <c r="U873"/>
    </row>
    <row r="874" spans="1:21" s="34" customFormat="1" ht="14.5" x14ac:dyDescent="0.35">
      <c r="A874" t="s">
        <v>499</v>
      </c>
      <c r="B874" t="s">
        <v>201</v>
      </c>
      <c r="C874"/>
      <c r="D874" t="s">
        <v>1589</v>
      </c>
      <c r="E874" t="s">
        <v>1590</v>
      </c>
      <c r="F874" s="4">
        <v>46300</v>
      </c>
      <c r="G874"/>
      <c r="H874"/>
      <c r="I874" t="s">
        <v>22</v>
      </c>
      <c r="J874" t="s">
        <v>35</v>
      </c>
      <c r="K874"/>
      <c r="L874"/>
      <c r="M874" t="s">
        <v>35</v>
      </c>
      <c r="N874" t="s">
        <v>502</v>
      </c>
      <c r="O874" s="30"/>
      <c r="P874" s="38">
        <f>O874-O874*0.17</f>
        <v>0</v>
      </c>
      <c r="Q874" s="45" t="e">
        <f>P874/O874</f>
        <v>#DIV/0!</v>
      </c>
      <c r="R874" s="15"/>
      <c r="S874" s="15"/>
      <c r="T874" s="7">
        <v>2014</v>
      </c>
      <c r="U874"/>
    </row>
    <row r="875" spans="1:21" s="34" customFormat="1" ht="14.5" x14ac:dyDescent="0.35">
      <c r="A875" t="s">
        <v>2213</v>
      </c>
      <c r="B875" t="s">
        <v>81</v>
      </c>
      <c r="C875"/>
      <c r="D875" t="s">
        <v>2214</v>
      </c>
      <c r="E875" t="s">
        <v>2215</v>
      </c>
      <c r="F875" s="4">
        <v>46152</v>
      </c>
      <c r="G875" t="s">
        <v>2216</v>
      </c>
      <c r="H875"/>
      <c r="I875" t="s">
        <v>22</v>
      </c>
      <c r="J875"/>
      <c r="K875"/>
      <c r="L875" t="s">
        <v>35</v>
      </c>
      <c r="M875" t="s">
        <v>35</v>
      </c>
      <c r="N875"/>
      <c r="O875" s="15"/>
      <c r="P875" s="38"/>
      <c r="Q875" s="45" t="e">
        <f>P875/O875</f>
        <v>#DIV/0!</v>
      </c>
      <c r="R875" s="15"/>
      <c r="S875" s="15"/>
      <c r="T875"/>
      <c r="U875"/>
    </row>
    <row r="876" spans="1:21" s="34" customFormat="1" ht="14.5" x14ac:dyDescent="0.35">
      <c r="A876" s="34" t="s">
        <v>44</v>
      </c>
      <c r="B876" s="34" t="s">
        <v>40</v>
      </c>
      <c r="C876" s="34" t="s">
        <v>2318</v>
      </c>
      <c r="D876" s="34" t="s">
        <v>1838</v>
      </c>
      <c r="E876" s="34" t="s">
        <v>2353</v>
      </c>
      <c r="F876" s="35">
        <v>46193</v>
      </c>
      <c r="G876" s="34" t="s">
        <v>47</v>
      </c>
      <c r="H876" s="34" t="s">
        <v>1775</v>
      </c>
      <c r="I876" s="34" t="s">
        <v>465</v>
      </c>
      <c r="J876" s="36"/>
      <c r="K876" s="36"/>
      <c r="L876" s="36"/>
      <c r="M876" s="36"/>
      <c r="O876" s="40" t="s">
        <v>2330</v>
      </c>
      <c r="P876" s="40"/>
      <c r="Q876" s="45" t="e">
        <f>P876/O876</f>
        <v>#VALUE!</v>
      </c>
      <c r="R876" s="38"/>
      <c r="S876" s="39"/>
    </row>
    <row r="877" spans="1:21" s="34" customFormat="1" ht="14.5" x14ac:dyDescent="0.35">
      <c r="A877" t="s">
        <v>779</v>
      </c>
      <c r="B877" t="s">
        <v>81</v>
      </c>
      <c r="C877"/>
      <c r="D877" t="s">
        <v>2207</v>
      </c>
      <c r="E877" t="s">
        <v>2208</v>
      </c>
      <c r="F877" s="4">
        <v>46332</v>
      </c>
      <c r="G877" t="s">
        <v>2209</v>
      </c>
      <c r="H877"/>
      <c r="I877" t="s">
        <v>22</v>
      </c>
      <c r="J877" t="s">
        <v>35</v>
      </c>
      <c r="K877" t="s">
        <v>35</v>
      </c>
      <c r="L877" t="s">
        <v>35</v>
      </c>
      <c r="M877" t="s">
        <v>35</v>
      </c>
      <c r="N877"/>
      <c r="O877" s="15">
        <v>5000</v>
      </c>
      <c r="P877" s="38"/>
      <c r="Q877" s="45">
        <f>P877/O877</f>
        <v>0</v>
      </c>
      <c r="R877" s="15"/>
      <c r="S877" s="15"/>
      <c r="T877"/>
      <c r="U877"/>
    </row>
    <row r="878" spans="1:21" s="34" customFormat="1" ht="14.5" x14ac:dyDescent="0.35">
      <c r="A878" s="34" t="s">
        <v>44</v>
      </c>
      <c r="B878" s="34" t="s">
        <v>40</v>
      </c>
      <c r="C878" s="34" t="s">
        <v>2323</v>
      </c>
      <c r="D878" s="34" t="s">
        <v>451</v>
      </c>
      <c r="E878" s="34" t="s">
        <v>2431</v>
      </c>
      <c r="F878" s="35">
        <v>46110</v>
      </c>
      <c r="G878" s="34" t="s">
        <v>2432</v>
      </c>
      <c r="H878" s="34" t="s">
        <v>1775</v>
      </c>
      <c r="I878" s="34" t="s">
        <v>22</v>
      </c>
      <c r="J878" s="36"/>
      <c r="K878" s="36"/>
      <c r="L878" s="36"/>
      <c r="M878" s="36"/>
      <c r="N878" s="34" t="s">
        <v>2433</v>
      </c>
      <c r="O878" s="36">
        <v>2000</v>
      </c>
      <c r="P878" s="36"/>
      <c r="Q878" s="45">
        <f>P878/O878</f>
        <v>0</v>
      </c>
      <c r="R878" s="38"/>
      <c r="S878" s="39"/>
    </row>
    <row r="879" spans="1:21" s="34" customFormat="1" ht="14.5" x14ac:dyDescent="0.35">
      <c r="A879" t="s">
        <v>499</v>
      </c>
      <c r="B879" t="s">
        <v>201</v>
      </c>
      <c r="C879"/>
      <c r="D879" t="s">
        <v>2104</v>
      </c>
      <c r="E879" t="s">
        <v>2105</v>
      </c>
      <c r="F879" s="4">
        <v>46152</v>
      </c>
      <c r="G879" t="s">
        <v>2106</v>
      </c>
      <c r="H879"/>
      <c r="I879" t="s">
        <v>22</v>
      </c>
      <c r="J879"/>
      <c r="K879" t="s">
        <v>35</v>
      </c>
      <c r="L879" t="s">
        <v>35</v>
      </c>
      <c r="M879" t="s">
        <v>35</v>
      </c>
      <c r="N879"/>
      <c r="O879" s="30">
        <v>4500</v>
      </c>
      <c r="P879" s="38"/>
      <c r="Q879" s="45">
        <f>P879/O879</f>
        <v>0</v>
      </c>
      <c r="R879" s="15"/>
      <c r="S879" s="15"/>
      <c r="T879"/>
      <c r="U879"/>
    </row>
    <row r="880" spans="1:21" s="34" customFormat="1" x14ac:dyDescent="0.4">
      <c r="A880" t="s">
        <v>272</v>
      </c>
      <c r="B880" t="s">
        <v>31</v>
      </c>
      <c r="C880"/>
      <c r="D880" t="s">
        <v>2145</v>
      </c>
      <c r="E880" t="s">
        <v>2146</v>
      </c>
      <c r="F880" s="4">
        <v>46369</v>
      </c>
      <c r="G880" t="s">
        <v>38</v>
      </c>
      <c r="H880"/>
      <c r="I880" t="s">
        <v>22</v>
      </c>
      <c r="J880" t="s">
        <v>35</v>
      </c>
      <c r="K880"/>
      <c r="L880"/>
      <c r="M880"/>
      <c r="N880"/>
      <c r="O880" s="15"/>
      <c r="P880" s="38"/>
      <c r="Q880" s="45" t="e">
        <f>P880/O880</f>
        <v>#DIV/0!</v>
      </c>
      <c r="R880" s="15"/>
      <c r="S880" s="15"/>
      <c r="T880"/>
      <c r="U880" s="25" t="s">
        <v>2147</v>
      </c>
    </row>
    <row r="881" spans="1:21" s="34" customFormat="1" ht="16" x14ac:dyDescent="0.5">
      <c r="A881" t="s">
        <v>131</v>
      </c>
      <c r="B881" t="s">
        <v>25</v>
      </c>
      <c r="C881"/>
      <c r="D881" t="s">
        <v>132</v>
      </c>
      <c r="E881" t="s">
        <v>2076</v>
      </c>
      <c r="F881" s="4">
        <v>46166</v>
      </c>
      <c r="G881" t="s">
        <v>38</v>
      </c>
      <c r="H881"/>
      <c r="I881" t="s">
        <v>22</v>
      </c>
      <c r="J881"/>
      <c r="K881"/>
      <c r="L881" t="s">
        <v>35</v>
      </c>
      <c r="M881"/>
      <c r="N881" t="s">
        <v>2077</v>
      </c>
      <c r="O881" s="15"/>
      <c r="P881" s="38"/>
      <c r="Q881" s="45" t="e">
        <f>P881/O881</f>
        <v>#DIV/0!</v>
      </c>
      <c r="R881" s="15"/>
      <c r="S881" s="15"/>
      <c r="T881"/>
      <c r="U881" s="24" t="s">
        <v>2078</v>
      </c>
    </row>
    <row r="882" spans="1:21" s="34" customFormat="1" ht="14.5" x14ac:dyDescent="0.35">
      <c r="A882" s="34" t="s">
        <v>44</v>
      </c>
      <c r="B882" s="34" t="s">
        <v>40</v>
      </c>
      <c r="C882" s="34" t="s">
        <v>2333</v>
      </c>
      <c r="D882" s="34" t="s">
        <v>1829</v>
      </c>
      <c r="E882" s="34" t="s">
        <v>2454</v>
      </c>
      <c r="F882" s="35">
        <v>46201</v>
      </c>
      <c r="G882" s="34" t="s">
        <v>38</v>
      </c>
      <c r="H882" s="34" t="s">
        <v>1775</v>
      </c>
      <c r="I882" s="34" t="s">
        <v>22</v>
      </c>
      <c r="J882" s="36" t="s">
        <v>333</v>
      </c>
      <c r="K882" s="36"/>
      <c r="L882" s="36"/>
      <c r="M882" s="36"/>
      <c r="N882" s="34" t="s">
        <v>2455</v>
      </c>
      <c r="O882" s="36">
        <v>1000</v>
      </c>
      <c r="P882" s="36"/>
      <c r="Q882" s="45">
        <f>P882/O882</f>
        <v>0</v>
      </c>
      <c r="R882" s="36"/>
      <c r="S882" s="37"/>
    </row>
    <row r="883" spans="1:21" s="34" customFormat="1" ht="14.5" x14ac:dyDescent="0.35">
      <c r="A883" s="34" t="s">
        <v>44</v>
      </c>
      <c r="B883" s="34" t="s">
        <v>40</v>
      </c>
      <c r="C883" s="34" t="s">
        <v>2318</v>
      </c>
      <c r="D883" s="34" t="s">
        <v>45</v>
      </c>
      <c r="E883" s="34" t="s">
        <v>2458</v>
      </c>
      <c r="F883" s="35">
        <v>46067</v>
      </c>
      <c r="G883" s="34" t="s">
        <v>38</v>
      </c>
      <c r="H883" s="34" t="s">
        <v>1775</v>
      </c>
      <c r="I883" s="34" t="s">
        <v>718</v>
      </c>
      <c r="J883" s="36"/>
      <c r="K883" s="36"/>
      <c r="L883" s="36" t="s">
        <v>333</v>
      </c>
      <c r="M883" s="36" t="s">
        <v>333</v>
      </c>
      <c r="N883" s="36" t="s">
        <v>1831</v>
      </c>
      <c r="O883" s="36">
        <v>1000</v>
      </c>
      <c r="P883" s="36"/>
      <c r="Q883" s="45">
        <f>P883/O883</f>
        <v>0</v>
      </c>
      <c r="R883" s="38"/>
      <c r="S883" s="39"/>
    </row>
    <row r="884" spans="1:21" s="34" customFormat="1" ht="14.5" x14ac:dyDescent="0.35">
      <c r="A884" s="34" t="s">
        <v>44</v>
      </c>
      <c r="B884" s="34" t="s">
        <v>40</v>
      </c>
      <c r="C884" s="34" t="s">
        <v>496</v>
      </c>
      <c r="D884" s="34" t="s">
        <v>496</v>
      </c>
      <c r="E884" s="34" t="s">
        <v>2453</v>
      </c>
      <c r="F884" s="35">
        <v>46321</v>
      </c>
      <c r="G884" s="34" t="s">
        <v>38</v>
      </c>
      <c r="H884" s="34" t="s">
        <v>1775</v>
      </c>
      <c r="I884" t="s">
        <v>488</v>
      </c>
      <c r="J884" s="36"/>
      <c r="K884" s="36"/>
      <c r="L884" s="36"/>
      <c r="M884" s="36"/>
      <c r="O884" s="36">
        <v>1100</v>
      </c>
      <c r="P884" s="36"/>
      <c r="Q884" s="45">
        <f>P884/O884</f>
        <v>0</v>
      </c>
      <c r="R884" s="38"/>
      <c r="S884" s="39"/>
    </row>
    <row r="885" spans="1:21" s="34" customFormat="1" ht="14.5" x14ac:dyDescent="0.35">
      <c r="A885" s="34" t="s">
        <v>44</v>
      </c>
      <c r="B885" s="34" t="s">
        <v>40</v>
      </c>
      <c r="C885" s="34" t="s">
        <v>2319</v>
      </c>
      <c r="D885" s="34" t="s">
        <v>1939</v>
      </c>
      <c r="E885" s="34" t="s">
        <v>2448</v>
      </c>
      <c r="F885" s="35">
        <v>46228</v>
      </c>
      <c r="G885" s="34" t="s">
        <v>38</v>
      </c>
      <c r="H885" s="34" t="s">
        <v>1775</v>
      </c>
      <c r="I885" s="34" t="s">
        <v>22</v>
      </c>
      <c r="J885" s="36"/>
      <c r="K885" s="36"/>
      <c r="L885" s="36"/>
      <c r="M885" s="36"/>
      <c r="N885" s="34" t="s">
        <v>2449</v>
      </c>
      <c r="O885" s="36">
        <v>1200</v>
      </c>
      <c r="P885" s="36"/>
      <c r="Q885" s="45">
        <f>P885/O885</f>
        <v>0</v>
      </c>
      <c r="R885" s="38"/>
      <c r="S885" s="39"/>
    </row>
    <row r="886" spans="1:21" s="34" customFormat="1" ht="14.5" x14ac:dyDescent="0.35">
      <c r="A886" s="34" t="s">
        <v>44</v>
      </c>
      <c r="B886" s="34" t="s">
        <v>40</v>
      </c>
      <c r="C886" s="34" t="s">
        <v>2319</v>
      </c>
      <c r="D886" s="34" t="s">
        <v>1939</v>
      </c>
      <c r="E886" s="34" t="s">
        <v>2446</v>
      </c>
      <c r="F886" s="35">
        <v>46284</v>
      </c>
      <c r="G886" s="34" t="s">
        <v>38</v>
      </c>
      <c r="H886" s="34" t="s">
        <v>1775</v>
      </c>
      <c r="I886" s="34" t="s">
        <v>22</v>
      </c>
      <c r="J886" s="36"/>
      <c r="K886" s="36"/>
      <c r="L886" s="36" t="s">
        <v>333</v>
      </c>
      <c r="M886" s="36" t="s">
        <v>333</v>
      </c>
      <c r="N886" s="34" t="s">
        <v>2447</v>
      </c>
      <c r="O886" s="36">
        <v>1300</v>
      </c>
      <c r="P886" s="36"/>
      <c r="Q886" s="45">
        <f>P886/O886</f>
        <v>0</v>
      </c>
      <c r="R886" s="38"/>
      <c r="S886" s="39"/>
    </row>
    <row r="887" spans="1:21" s="34" customFormat="1" ht="14.5" x14ac:dyDescent="0.35">
      <c r="A887" s="34" t="s">
        <v>44</v>
      </c>
      <c r="B887" s="34" t="s">
        <v>40</v>
      </c>
      <c r="C887" s="34" t="s">
        <v>2326</v>
      </c>
      <c r="D887" s="34" t="s">
        <v>2444</v>
      </c>
      <c r="E887" s="34" t="s">
        <v>2445</v>
      </c>
      <c r="F887" s="35">
        <v>46096</v>
      </c>
      <c r="G887" s="34" t="s">
        <v>38</v>
      </c>
      <c r="H887" s="34" t="s">
        <v>1775</v>
      </c>
      <c r="I887" s="34" t="s">
        <v>22</v>
      </c>
      <c r="J887" s="38"/>
      <c r="K887" s="38"/>
      <c r="L887" s="38"/>
      <c r="M887" s="38"/>
      <c r="O887" s="38">
        <v>1500</v>
      </c>
      <c r="P887" s="38"/>
      <c r="Q887" s="45">
        <f>P887/O887</f>
        <v>0</v>
      </c>
      <c r="R887" s="38"/>
      <c r="S887" s="39"/>
    </row>
    <row r="888" spans="1:21" s="34" customFormat="1" ht="14.5" x14ac:dyDescent="0.35">
      <c r="A888" s="34" t="s">
        <v>44</v>
      </c>
      <c r="B888" s="34" t="s">
        <v>40</v>
      </c>
      <c r="C888" s="34" t="s">
        <v>2319</v>
      </c>
      <c r="D888" s="34" t="s">
        <v>1939</v>
      </c>
      <c r="E888" s="34" t="s">
        <v>2439</v>
      </c>
      <c r="F888" s="35">
        <v>46300</v>
      </c>
      <c r="G888" s="34" t="s">
        <v>38</v>
      </c>
      <c r="H888" s="34" t="s">
        <v>1775</v>
      </c>
      <c r="I888" s="34" t="s">
        <v>718</v>
      </c>
      <c r="J888" s="36"/>
      <c r="K888" s="36"/>
      <c r="L888" s="36" t="s">
        <v>333</v>
      </c>
      <c r="M888" s="36"/>
      <c r="N888" s="34" t="s">
        <v>2440</v>
      </c>
      <c r="O888" s="36">
        <v>1600</v>
      </c>
      <c r="P888" s="36"/>
      <c r="Q888" s="45">
        <f>P888/O888</f>
        <v>0</v>
      </c>
      <c r="R888" s="38"/>
      <c r="S888" s="39"/>
    </row>
    <row r="889" spans="1:21" s="34" customFormat="1" ht="14.5" x14ac:dyDescent="0.35">
      <c r="A889" s="34" t="s">
        <v>44</v>
      </c>
      <c r="B889" s="34" t="s">
        <v>40</v>
      </c>
      <c r="C889" s="34" t="s">
        <v>2318</v>
      </c>
      <c r="D889" s="34" t="s">
        <v>45</v>
      </c>
      <c r="E889" s="34" t="s">
        <v>2435</v>
      </c>
      <c r="F889" s="35">
        <v>46285</v>
      </c>
      <c r="G889" s="34" t="s">
        <v>38</v>
      </c>
      <c r="H889" s="34" t="s">
        <v>1775</v>
      </c>
      <c r="I889" t="s">
        <v>488</v>
      </c>
      <c r="J889" s="36"/>
      <c r="K889" s="36"/>
      <c r="L889" s="36"/>
      <c r="M889" s="36"/>
      <c r="N889" s="34" t="s">
        <v>2436</v>
      </c>
      <c r="O889" s="36">
        <v>1700</v>
      </c>
      <c r="P889" s="36"/>
      <c r="Q889" s="45">
        <f>P889/O889</f>
        <v>0</v>
      </c>
      <c r="R889" s="38"/>
      <c r="S889" s="39"/>
    </row>
    <row r="890" spans="1:21" s="34" customFormat="1" ht="14.5" x14ac:dyDescent="0.35">
      <c r="A890" s="34" t="s">
        <v>44</v>
      </c>
      <c r="B890" s="34" t="s">
        <v>40</v>
      </c>
      <c r="C890" s="34" t="s">
        <v>163</v>
      </c>
      <c r="D890" s="34" t="s">
        <v>163</v>
      </c>
      <c r="E890" s="34" t="s">
        <v>2434</v>
      </c>
      <c r="F890" s="35">
        <v>46117</v>
      </c>
      <c r="G890" s="34" t="s">
        <v>38</v>
      </c>
      <c r="H890" s="34" t="s">
        <v>1775</v>
      </c>
      <c r="I890" s="34" t="s">
        <v>22</v>
      </c>
      <c r="J890" s="36" t="s">
        <v>333</v>
      </c>
      <c r="K890" s="36"/>
      <c r="L890" s="36"/>
      <c r="M890" s="36"/>
      <c r="O890" s="36">
        <v>1800</v>
      </c>
      <c r="P890" s="36"/>
      <c r="Q890" s="45">
        <f>P890/O890</f>
        <v>0</v>
      </c>
      <c r="R890" s="38"/>
      <c r="S890" s="39"/>
    </row>
    <row r="891" spans="1:21" s="34" customFormat="1" ht="14.5" x14ac:dyDescent="0.35">
      <c r="A891" s="34" t="s">
        <v>44</v>
      </c>
      <c r="B891" s="34" t="s">
        <v>40</v>
      </c>
      <c r="C891" s="34" t="s">
        <v>2328</v>
      </c>
      <c r="D891" s="34" t="s">
        <v>1818</v>
      </c>
      <c r="E891" s="34" t="s">
        <v>2420</v>
      </c>
      <c r="F891" s="35">
        <v>46292</v>
      </c>
      <c r="G891" s="34" t="s">
        <v>38</v>
      </c>
      <c r="H891" s="34" t="s">
        <v>1775</v>
      </c>
      <c r="I891" s="34" t="s">
        <v>22</v>
      </c>
      <c r="J891" s="38"/>
      <c r="K891" s="38">
        <v>1200</v>
      </c>
      <c r="L891" s="38">
        <v>1000</v>
      </c>
      <c r="M891" s="38"/>
      <c r="O891" s="36">
        <v>2200</v>
      </c>
      <c r="P891" s="36"/>
      <c r="Q891" s="45">
        <f>P891/O891</f>
        <v>0</v>
      </c>
      <c r="R891" s="38"/>
      <c r="S891" s="39"/>
    </row>
    <row r="892" spans="1:21" s="34" customFormat="1" ht="14.5" x14ac:dyDescent="0.35">
      <c r="A892" s="34" t="s">
        <v>44</v>
      </c>
      <c r="B892" s="34" t="s">
        <v>40</v>
      </c>
      <c r="C892" s="34" t="s">
        <v>331</v>
      </c>
      <c r="D892" s="34" t="s">
        <v>2415</v>
      </c>
      <c r="E892" s="34" t="s">
        <v>2416</v>
      </c>
      <c r="F892" s="35">
        <v>46151</v>
      </c>
      <c r="G892" s="34" t="s">
        <v>38</v>
      </c>
      <c r="H892" s="34" t="s">
        <v>1775</v>
      </c>
      <c r="I892" s="34" t="s">
        <v>302</v>
      </c>
      <c r="J892" s="38" t="s">
        <v>333</v>
      </c>
      <c r="K892" s="38" t="s">
        <v>333</v>
      </c>
      <c r="L892" s="38"/>
      <c r="M892" s="38"/>
      <c r="O892" s="38">
        <v>2400</v>
      </c>
      <c r="P892" s="38"/>
      <c r="Q892" s="45">
        <f>P892/O892</f>
        <v>0</v>
      </c>
      <c r="R892" s="38"/>
      <c r="S892" s="39"/>
    </row>
    <row r="893" spans="1:21" s="34" customFormat="1" ht="14.5" x14ac:dyDescent="0.35">
      <c r="A893" s="34" t="s">
        <v>44</v>
      </c>
      <c r="B893" s="34" t="s">
        <v>40</v>
      </c>
      <c r="C893" s="34" t="s">
        <v>2318</v>
      </c>
      <c r="D893" s="34" t="s">
        <v>2405</v>
      </c>
      <c r="E893" s="34" t="s">
        <v>2406</v>
      </c>
      <c r="F893" s="35">
        <v>46152</v>
      </c>
      <c r="G893" s="34" t="s">
        <v>38</v>
      </c>
      <c r="H893" s="34" t="s">
        <v>1775</v>
      </c>
      <c r="I893" s="34" t="s">
        <v>22</v>
      </c>
      <c r="J893" s="38"/>
      <c r="K893" s="38"/>
      <c r="L893" s="38" t="s">
        <v>333</v>
      </c>
      <c r="M893" s="38" t="s">
        <v>333</v>
      </c>
      <c r="N893" s="38" t="s">
        <v>2407</v>
      </c>
      <c r="O893" s="38">
        <v>2500</v>
      </c>
      <c r="P893" s="38"/>
      <c r="Q893" s="45">
        <f>P893/O893</f>
        <v>0</v>
      </c>
      <c r="R893" s="38"/>
      <c r="S893" s="39"/>
    </row>
    <row r="894" spans="1:21" s="34" customFormat="1" ht="14.5" x14ac:dyDescent="0.35">
      <c r="A894" s="34" t="s">
        <v>44</v>
      </c>
      <c r="B894" s="34" t="s">
        <v>40</v>
      </c>
      <c r="C894" s="34" t="s">
        <v>2318</v>
      </c>
      <c r="D894" s="34" t="s">
        <v>45</v>
      </c>
      <c r="E894" s="34" t="s">
        <v>2408</v>
      </c>
      <c r="F894" s="35">
        <v>46173</v>
      </c>
      <c r="G894" s="34" t="s">
        <v>38</v>
      </c>
      <c r="H894" s="34" t="s">
        <v>1775</v>
      </c>
      <c r="I894" s="34" t="s">
        <v>22</v>
      </c>
      <c r="J894" s="36"/>
      <c r="K894" s="36"/>
      <c r="L894" s="36" t="s">
        <v>333</v>
      </c>
      <c r="M894" s="36"/>
      <c r="O894" s="36">
        <v>2500</v>
      </c>
      <c r="P894" s="36"/>
      <c r="Q894" s="45">
        <f>P894/O894</f>
        <v>0</v>
      </c>
      <c r="R894" s="38"/>
      <c r="S894" s="39"/>
    </row>
    <row r="895" spans="1:21" s="34" customFormat="1" ht="14.5" x14ac:dyDescent="0.35">
      <c r="A895" s="34" t="s">
        <v>44</v>
      </c>
      <c r="B895" s="34" t="s">
        <v>40</v>
      </c>
      <c r="C895" s="34" t="s">
        <v>2318</v>
      </c>
      <c r="D895" s="34" t="s">
        <v>45</v>
      </c>
      <c r="E895" s="34" t="s">
        <v>2409</v>
      </c>
      <c r="F895" s="35">
        <v>46095</v>
      </c>
      <c r="G895" s="34" t="s">
        <v>38</v>
      </c>
      <c r="H895" s="34" t="s">
        <v>1775</v>
      </c>
      <c r="I895" s="34" t="s">
        <v>718</v>
      </c>
      <c r="J895" s="36"/>
      <c r="K895" s="36"/>
      <c r="L895" s="36" t="s">
        <v>333</v>
      </c>
      <c r="M895" s="36" t="s">
        <v>333</v>
      </c>
      <c r="N895" s="34" t="s">
        <v>1831</v>
      </c>
      <c r="O895" s="36">
        <v>2500</v>
      </c>
      <c r="P895" s="36"/>
      <c r="Q895" s="45">
        <f>P895/O895</f>
        <v>0</v>
      </c>
      <c r="R895" s="38"/>
      <c r="S895" s="39"/>
    </row>
    <row r="896" spans="1:21" s="34" customFormat="1" ht="14.5" x14ac:dyDescent="0.35">
      <c r="A896" s="34" t="s">
        <v>44</v>
      </c>
      <c r="B896" s="34" t="s">
        <v>40</v>
      </c>
      <c r="C896" s="34" t="s">
        <v>496</v>
      </c>
      <c r="D896" s="34" t="s">
        <v>496</v>
      </c>
      <c r="E896" s="34" t="s">
        <v>2412</v>
      </c>
      <c r="F896" s="35">
        <v>46292</v>
      </c>
      <c r="G896" s="34" t="s">
        <v>38</v>
      </c>
      <c r="I896" s="34" t="s">
        <v>956</v>
      </c>
      <c r="J896" s="36"/>
      <c r="K896" s="36"/>
      <c r="L896" s="36"/>
      <c r="M896" s="36"/>
      <c r="O896" s="36">
        <v>2500</v>
      </c>
      <c r="P896" s="36"/>
      <c r="Q896" s="45">
        <f>P896/O896</f>
        <v>0</v>
      </c>
      <c r="R896" s="38"/>
      <c r="S896" s="39"/>
    </row>
    <row r="897" spans="1:21" s="34" customFormat="1" ht="14.5" x14ac:dyDescent="0.35">
      <c r="A897" s="34" t="s">
        <v>44</v>
      </c>
      <c r="B897" s="34" t="s">
        <v>40</v>
      </c>
      <c r="C897" s="34" t="s">
        <v>2335</v>
      </c>
      <c r="D897" s="34" t="s">
        <v>2396</v>
      </c>
      <c r="E897" s="34" t="s">
        <v>2397</v>
      </c>
      <c r="F897" s="35">
        <v>46088</v>
      </c>
      <c r="G897" s="34" t="s">
        <v>38</v>
      </c>
      <c r="H897" s="34" t="s">
        <v>1775</v>
      </c>
      <c r="I897" s="34" t="s">
        <v>302</v>
      </c>
      <c r="J897" s="38"/>
      <c r="K897" s="38" t="s">
        <v>333</v>
      </c>
      <c r="L897" s="38" t="s">
        <v>333</v>
      </c>
      <c r="M897" s="38"/>
      <c r="O897" s="36">
        <v>3000</v>
      </c>
      <c r="P897" s="36"/>
      <c r="Q897" s="45">
        <f>P897/O897</f>
        <v>0</v>
      </c>
      <c r="R897" s="38"/>
      <c r="S897" s="39"/>
    </row>
    <row r="898" spans="1:21" s="34" customFormat="1" ht="14.5" x14ac:dyDescent="0.35">
      <c r="A898" s="34" t="s">
        <v>44</v>
      </c>
      <c r="B898" s="34" t="s">
        <v>40</v>
      </c>
      <c r="C898" s="34" t="s">
        <v>2318</v>
      </c>
      <c r="D898" s="34" t="s">
        <v>2398</v>
      </c>
      <c r="E898" s="34" t="s">
        <v>2399</v>
      </c>
      <c r="F898" s="35">
        <v>46376</v>
      </c>
      <c r="G898" s="34" t="s">
        <v>38</v>
      </c>
      <c r="H898" s="34" t="s">
        <v>1775</v>
      </c>
      <c r="I898" s="34" t="s">
        <v>22</v>
      </c>
      <c r="J898" s="36"/>
      <c r="K898" s="36"/>
      <c r="L898" s="36" t="s">
        <v>333</v>
      </c>
      <c r="M898" s="36"/>
      <c r="N898" s="36"/>
      <c r="O898" s="36">
        <v>3000</v>
      </c>
      <c r="P898" s="36"/>
      <c r="Q898" s="45">
        <f>P898/O898</f>
        <v>0</v>
      </c>
      <c r="R898" s="38"/>
      <c r="S898" s="39"/>
    </row>
    <row r="899" spans="1:21" s="34" customFormat="1" ht="14.5" x14ac:dyDescent="0.35">
      <c r="A899" s="34" t="s">
        <v>44</v>
      </c>
      <c r="B899" s="34" t="s">
        <v>40</v>
      </c>
      <c r="C899" s="34" t="s">
        <v>2319</v>
      </c>
      <c r="D899" s="34" t="s">
        <v>1939</v>
      </c>
      <c r="E899" s="34" t="s">
        <v>2400</v>
      </c>
      <c r="F899" s="35">
        <v>46152</v>
      </c>
      <c r="G899" s="34" t="s">
        <v>38</v>
      </c>
      <c r="H899" s="34" t="s">
        <v>1775</v>
      </c>
      <c r="I899" s="34" t="s">
        <v>718</v>
      </c>
      <c r="J899" s="36"/>
      <c r="K899" s="36"/>
      <c r="L899" s="36"/>
      <c r="M899" s="36" t="s">
        <v>333</v>
      </c>
      <c r="N899" s="34" t="s">
        <v>1805</v>
      </c>
      <c r="O899" s="36">
        <v>3000</v>
      </c>
      <c r="P899" s="36"/>
      <c r="Q899" s="45">
        <f>P899/O899</f>
        <v>0</v>
      </c>
      <c r="R899" s="38"/>
      <c r="S899" s="39"/>
    </row>
    <row r="900" spans="1:21" s="34" customFormat="1" ht="14.5" x14ac:dyDescent="0.35">
      <c r="A900" s="34" t="s">
        <v>44</v>
      </c>
      <c r="B900" s="34" t="s">
        <v>40</v>
      </c>
      <c r="C900" s="34" t="s">
        <v>1814</v>
      </c>
      <c r="D900" s="34" t="s">
        <v>1814</v>
      </c>
      <c r="E900" s="34" t="s">
        <v>2393</v>
      </c>
      <c r="F900" s="35">
        <v>46355</v>
      </c>
      <c r="G900" s="34" t="s">
        <v>38</v>
      </c>
      <c r="H900" s="34" t="s">
        <v>1775</v>
      </c>
      <c r="I900" s="34" t="s">
        <v>22</v>
      </c>
      <c r="J900" s="36"/>
      <c r="K900" s="36"/>
      <c r="L900" s="36"/>
      <c r="M900" s="36"/>
      <c r="N900" s="34" t="s">
        <v>1769</v>
      </c>
      <c r="O900" s="36">
        <v>3050</v>
      </c>
      <c r="P900" s="36"/>
      <c r="Q900" s="45">
        <f>P900/O900</f>
        <v>0</v>
      </c>
      <c r="R900" s="38"/>
      <c r="S900" s="39"/>
    </row>
    <row r="901" spans="1:21" s="34" customFormat="1" ht="14.5" x14ac:dyDescent="0.35">
      <c r="A901" s="34" t="s">
        <v>44</v>
      </c>
      <c r="B901" s="34" t="s">
        <v>40</v>
      </c>
      <c r="C901" s="34" t="s">
        <v>2318</v>
      </c>
      <c r="D901" s="34" t="s">
        <v>2391</v>
      </c>
      <c r="E901" s="34" t="s">
        <v>2392</v>
      </c>
      <c r="F901" s="35">
        <v>46124</v>
      </c>
      <c r="G901" s="34" t="s">
        <v>38</v>
      </c>
      <c r="H901" s="34" t="s">
        <v>1775</v>
      </c>
      <c r="I901" s="34" t="s">
        <v>465</v>
      </c>
      <c r="J901" s="38"/>
      <c r="K901" s="38" t="s">
        <v>333</v>
      </c>
      <c r="L901" s="38" t="s">
        <v>333</v>
      </c>
      <c r="M901" s="38" t="s">
        <v>333</v>
      </c>
      <c r="N901" s="38" t="s">
        <v>687</v>
      </c>
      <c r="O901" s="36">
        <v>3200</v>
      </c>
      <c r="P901" s="36"/>
      <c r="Q901" s="45">
        <f>P901/O901</f>
        <v>0</v>
      </c>
      <c r="R901" s="38"/>
      <c r="S901" s="39"/>
    </row>
    <row r="902" spans="1:21" s="34" customFormat="1" ht="14.5" x14ac:dyDescent="0.35">
      <c r="A902" s="34" t="s">
        <v>44</v>
      </c>
      <c r="B902" s="34" t="s">
        <v>40</v>
      </c>
      <c r="C902" s="34" t="s">
        <v>2318</v>
      </c>
      <c r="D902" s="34" t="s">
        <v>45</v>
      </c>
      <c r="E902" s="34" t="s">
        <v>2388</v>
      </c>
      <c r="F902" s="35">
        <v>46040</v>
      </c>
      <c r="G902" s="34" t="s">
        <v>38</v>
      </c>
      <c r="H902" s="34" t="s">
        <v>1775</v>
      </c>
      <c r="I902" s="34" t="s">
        <v>22</v>
      </c>
      <c r="J902" s="36"/>
      <c r="K902" s="36"/>
      <c r="L902" s="36">
        <v>3400</v>
      </c>
      <c r="M902" s="36"/>
      <c r="O902" s="36">
        <v>3400</v>
      </c>
      <c r="P902" s="36"/>
      <c r="Q902" s="45">
        <f>P902/O902</f>
        <v>0</v>
      </c>
      <c r="R902" s="38"/>
      <c r="S902" s="39"/>
    </row>
    <row r="903" spans="1:21" s="34" customFormat="1" ht="14.5" x14ac:dyDescent="0.35">
      <c r="A903" s="34" t="s">
        <v>44</v>
      </c>
      <c r="B903" s="34" t="s">
        <v>40</v>
      </c>
      <c r="C903" s="34" t="s">
        <v>2319</v>
      </c>
      <c r="D903" s="34" t="s">
        <v>1939</v>
      </c>
      <c r="E903" s="34" t="s">
        <v>2385</v>
      </c>
      <c r="F903" s="35">
        <v>46124</v>
      </c>
      <c r="G903" s="34" t="s">
        <v>38</v>
      </c>
      <c r="H903" s="34" t="s">
        <v>1775</v>
      </c>
      <c r="I903" s="34" t="s">
        <v>22</v>
      </c>
      <c r="J903" s="36"/>
      <c r="K903" s="36"/>
      <c r="L903" s="36" t="s">
        <v>333</v>
      </c>
      <c r="M903" s="36" t="s">
        <v>333</v>
      </c>
      <c r="O903" s="36">
        <v>3500</v>
      </c>
      <c r="P903" s="36"/>
      <c r="Q903" s="45">
        <f>P903/O903</f>
        <v>0</v>
      </c>
      <c r="R903" s="38"/>
      <c r="S903" s="39"/>
    </row>
    <row r="904" spans="1:21" s="34" customFormat="1" ht="14.5" x14ac:dyDescent="0.35">
      <c r="A904" s="34" t="s">
        <v>44</v>
      </c>
      <c r="B904" s="34" t="s">
        <v>40</v>
      </c>
      <c r="C904" s="34" t="s">
        <v>163</v>
      </c>
      <c r="D904" s="34" t="s">
        <v>163</v>
      </c>
      <c r="E904" s="34" t="s">
        <v>2386</v>
      </c>
      <c r="F904" s="35">
        <v>46370</v>
      </c>
      <c r="G904" s="34" t="s">
        <v>38</v>
      </c>
      <c r="H904" s="34" t="s">
        <v>1775</v>
      </c>
      <c r="I904" s="34" t="s">
        <v>22</v>
      </c>
      <c r="J904" s="36"/>
      <c r="K904" s="36"/>
      <c r="L904" s="36" t="s">
        <v>333</v>
      </c>
      <c r="M904" s="36" t="s">
        <v>333</v>
      </c>
      <c r="N904" s="34" t="s">
        <v>2387</v>
      </c>
      <c r="O904" s="36">
        <v>3500</v>
      </c>
      <c r="P904" s="36"/>
      <c r="Q904" s="45">
        <f>P904/O904</f>
        <v>0</v>
      </c>
      <c r="R904" s="38"/>
      <c r="S904" s="39"/>
      <c r="T904"/>
      <c r="U904"/>
    </row>
    <row r="905" spans="1:21" s="34" customFormat="1" ht="14.5" x14ac:dyDescent="0.35">
      <c r="A905" s="34" t="s">
        <v>44</v>
      </c>
      <c r="B905" s="34" t="s">
        <v>40</v>
      </c>
      <c r="C905" s="34" t="s">
        <v>163</v>
      </c>
      <c r="D905" s="34" t="s">
        <v>163</v>
      </c>
      <c r="E905" s="34" t="s">
        <v>2363</v>
      </c>
      <c r="F905" s="35">
        <v>46054</v>
      </c>
      <c r="G905" s="34" t="s">
        <v>38</v>
      </c>
      <c r="H905" s="34" t="s">
        <v>1775</v>
      </c>
      <c r="I905" s="34" t="s">
        <v>22</v>
      </c>
      <c r="J905" s="36"/>
      <c r="K905" s="36" t="s">
        <v>1908</v>
      </c>
      <c r="L905" s="36" t="s">
        <v>333</v>
      </c>
      <c r="M905" s="36" t="s">
        <v>333</v>
      </c>
      <c r="O905" s="36">
        <v>4500</v>
      </c>
      <c r="P905" s="36"/>
      <c r="Q905" s="45">
        <f>P905/O905</f>
        <v>0</v>
      </c>
      <c r="R905" s="38"/>
      <c r="S905" s="39"/>
    </row>
    <row r="906" spans="1:21" s="34" customFormat="1" ht="14.5" x14ac:dyDescent="0.35">
      <c r="A906" s="34" t="s">
        <v>44</v>
      </c>
      <c r="B906" s="34" t="s">
        <v>40</v>
      </c>
      <c r="C906" s="34" t="s">
        <v>2318</v>
      </c>
      <c r="D906" s="34" t="s">
        <v>45</v>
      </c>
      <c r="E906" s="34" t="s">
        <v>2362</v>
      </c>
      <c r="F906" s="35">
        <v>46103</v>
      </c>
      <c r="G906" s="34" t="s">
        <v>38</v>
      </c>
      <c r="H906" s="34" t="s">
        <v>1775</v>
      </c>
      <c r="I906" s="34" t="s">
        <v>718</v>
      </c>
      <c r="J906" s="36"/>
      <c r="K906" s="36"/>
      <c r="L906" s="36" t="s">
        <v>333</v>
      </c>
      <c r="M906" s="36" t="s">
        <v>333</v>
      </c>
      <c r="N906" s="34" t="s">
        <v>1831</v>
      </c>
      <c r="O906" s="36">
        <v>4600</v>
      </c>
      <c r="P906" s="36"/>
      <c r="Q906" s="45">
        <f>P906/O906</f>
        <v>0</v>
      </c>
      <c r="R906" s="38"/>
      <c r="S906" s="39"/>
    </row>
    <row r="907" spans="1:21" s="34" customFormat="1" ht="14.5" x14ac:dyDescent="0.35">
      <c r="A907" s="34" t="s">
        <v>44</v>
      </c>
      <c r="B907" s="34" t="s">
        <v>40</v>
      </c>
      <c r="C907" s="34" t="s">
        <v>2335</v>
      </c>
      <c r="D907" s="34" t="s">
        <v>1888</v>
      </c>
      <c r="E907" s="34" t="s">
        <v>1932</v>
      </c>
      <c r="F907" s="35">
        <v>46187</v>
      </c>
      <c r="G907" s="34" t="s">
        <v>38</v>
      </c>
      <c r="H907" s="34" t="s">
        <v>1775</v>
      </c>
      <c r="I907" s="34" t="s">
        <v>718</v>
      </c>
      <c r="J907" s="36"/>
      <c r="K907" s="36"/>
      <c r="L907" s="36"/>
      <c r="M907" s="36"/>
      <c r="N907" s="34" t="s">
        <v>1831</v>
      </c>
      <c r="O907" s="36">
        <v>5500</v>
      </c>
      <c r="P907" s="36"/>
      <c r="Q907" s="45">
        <f>P907/O907</f>
        <v>0</v>
      </c>
      <c r="R907" s="36"/>
      <c r="S907" s="37"/>
    </row>
    <row r="908" spans="1:21" s="34" customFormat="1" ht="14.5" x14ac:dyDescent="0.35">
      <c r="A908" s="34" t="s">
        <v>44</v>
      </c>
      <c r="B908" s="34" t="s">
        <v>40</v>
      </c>
      <c r="C908" s="34" t="s">
        <v>115</v>
      </c>
      <c r="D908" s="34" t="s">
        <v>115</v>
      </c>
      <c r="E908" s="34" t="s">
        <v>1906</v>
      </c>
      <c r="F908" s="35">
        <v>46292</v>
      </c>
      <c r="G908" s="34" t="s">
        <v>38</v>
      </c>
      <c r="H908" s="34" t="s">
        <v>1775</v>
      </c>
      <c r="I908" s="34" t="s">
        <v>22</v>
      </c>
      <c r="J908" s="38"/>
      <c r="K908" s="38"/>
      <c r="L908" s="38"/>
      <c r="M908" s="38"/>
      <c r="N908" s="34" t="s">
        <v>1805</v>
      </c>
      <c r="O908" s="38">
        <v>6500</v>
      </c>
      <c r="P908" s="38"/>
      <c r="Q908" s="45">
        <f>P908/O908</f>
        <v>0</v>
      </c>
      <c r="R908" s="38"/>
      <c r="S908" s="39"/>
    </row>
    <row r="909" spans="1:21" s="34" customFormat="1" ht="14.5" x14ac:dyDescent="0.35">
      <c r="A909" s="34" t="s">
        <v>44</v>
      </c>
      <c r="B909" s="34" t="s">
        <v>40</v>
      </c>
      <c r="C909" s="34" t="s">
        <v>2334</v>
      </c>
      <c r="D909" s="34" t="s">
        <v>1863</v>
      </c>
      <c r="E909" s="34" t="s">
        <v>1911</v>
      </c>
      <c r="F909" s="35">
        <v>46320</v>
      </c>
      <c r="G909" s="34" t="s">
        <v>38</v>
      </c>
      <c r="H909" s="34" t="s">
        <v>1775</v>
      </c>
      <c r="I909" s="34" t="s">
        <v>22</v>
      </c>
      <c r="J909" s="38"/>
      <c r="K909" s="38"/>
      <c r="L909" s="38" t="s">
        <v>333</v>
      </c>
      <c r="M909" s="38" t="s">
        <v>333</v>
      </c>
      <c r="N909" s="34" t="s">
        <v>1912</v>
      </c>
      <c r="O909" s="38">
        <v>6500</v>
      </c>
      <c r="P909" s="38"/>
      <c r="Q909" s="45">
        <f>P909/O909</f>
        <v>0</v>
      </c>
      <c r="R909" s="38"/>
      <c r="S909" s="39"/>
    </row>
    <row r="910" spans="1:21" s="34" customFormat="1" ht="14.5" x14ac:dyDescent="0.35">
      <c r="A910" s="34" t="s">
        <v>44</v>
      </c>
      <c r="B910" s="34" t="s">
        <v>40</v>
      </c>
      <c r="C910" s="34" t="s">
        <v>1814</v>
      </c>
      <c r="D910" s="34" t="s">
        <v>1814</v>
      </c>
      <c r="E910" s="34" t="s">
        <v>1887</v>
      </c>
      <c r="F910" s="35">
        <v>46173</v>
      </c>
      <c r="G910" s="34" t="s">
        <v>38</v>
      </c>
      <c r="H910" s="34" t="s">
        <v>1775</v>
      </c>
      <c r="I910" s="34" t="s">
        <v>22</v>
      </c>
      <c r="J910" s="36"/>
      <c r="K910" s="36"/>
      <c r="L910" s="36"/>
      <c r="M910" s="36"/>
      <c r="O910" s="36">
        <v>8000</v>
      </c>
      <c r="P910" s="36"/>
      <c r="Q910" s="45">
        <f>P910/O910</f>
        <v>0</v>
      </c>
      <c r="R910" s="38"/>
      <c r="S910" s="39"/>
    </row>
    <row r="911" spans="1:21" s="34" customFormat="1" ht="14.5" x14ac:dyDescent="0.35">
      <c r="A911" s="34" t="s">
        <v>44</v>
      </c>
      <c r="B911" s="34" t="s">
        <v>40</v>
      </c>
      <c r="C911" s="34" t="s">
        <v>2331</v>
      </c>
      <c r="D911" s="34" t="s">
        <v>1861</v>
      </c>
      <c r="E911" s="34" t="s">
        <v>1862</v>
      </c>
      <c r="F911" s="35">
        <v>46285</v>
      </c>
      <c r="G911" s="34" t="s">
        <v>38</v>
      </c>
      <c r="H911" s="34" t="s">
        <v>1775</v>
      </c>
      <c r="I911" s="34" t="s">
        <v>718</v>
      </c>
      <c r="J911" s="38"/>
      <c r="K911" s="38"/>
      <c r="L911" s="38"/>
      <c r="M911" s="38" t="s">
        <v>333</v>
      </c>
      <c r="N911" s="34" t="s">
        <v>1831</v>
      </c>
      <c r="O911" s="36">
        <v>10000</v>
      </c>
      <c r="P911" s="36"/>
      <c r="Q911" s="45">
        <f>P911/O911</f>
        <v>0</v>
      </c>
      <c r="R911" s="38"/>
      <c r="S911" s="39"/>
    </row>
    <row r="912" spans="1:21" s="34" customFormat="1" ht="14.5" x14ac:dyDescent="0.35">
      <c r="A912" s="34" t="s">
        <v>44</v>
      </c>
      <c r="B912" s="34" t="s">
        <v>40</v>
      </c>
      <c r="C912" s="34" t="s">
        <v>2334</v>
      </c>
      <c r="D912" s="34" t="s">
        <v>1863</v>
      </c>
      <c r="E912" s="34" t="s">
        <v>1864</v>
      </c>
      <c r="F912" s="35">
        <v>46306</v>
      </c>
      <c r="G912" s="34" t="s">
        <v>38</v>
      </c>
      <c r="H912" s="34" t="s">
        <v>1775</v>
      </c>
      <c r="I912" s="34" t="s">
        <v>718</v>
      </c>
      <c r="J912" s="38"/>
      <c r="K912" s="38"/>
      <c r="L912" s="38"/>
      <c r="M912" s="38" t="s">
        <v>333</v>
      </c>
      <c r="N912" s="34" t="s">
        <v>1865</v>
      </c>
      <c r="O912" s="38">
        <v>10000</v>
      </c>
      <c r="P912" s="38"/>
      <c r="Q912" s="45">
        <f>P912/O912</f>
        <v>0</v>
      </c>
      <c r="R912" s="38"/>
      <c r="S912" s="39"/>
    </row>
    <row r="913" spans="1:21" s="34" customFormat="1" ht="14.5" x14ac:dyDescent="0.35">
      <c r="A913" s="34" t="s">
        <v>44</v>
      </c>
      <c r="B913" s="34" t="s">
        <v>40</v>
      </c>
      <c r="C913" s="34" t="s">
        <v>2328</v>
      </c>
      <c r="D913" s="34" t="s">
        <v>1845</v>
      </c>
      <c r="E913" s="34" t="s">
        <v>1846</v>
      </c>
      <c r="F913" s="35">
        <v>46165</v>
      </c>
      <c r="G913" s="34" t="s">
        <v>38</v>
      </c>
      <c r="H913" s="34" t="s">
        <v>1775</v>
      </c>
      <c r="I913" s="34" t="s">
        <v>718</v>
      </c>
      <c r="J913" s="38"/>
      <c r="K913" s="38"/>
      <c r="L913" s="38"/>
      <c r="M913" s="38" t="s">
        <v>333</v>
      </c>
      <c r="N913" s="34" t="s">
        <v>1831</v>
      </c>
      <c r="O913" s="38">
        <v>11600</v>
      </c>
      <c r="P913" s="38"/>
      <c r="Q913" s="45">
        <f>P913/O913</f>
        <v>0</v>
      </c>
      <c r="R913" s="38"/>
      <c r="S913" s="39"/>
    </row>
    <row r="914" spans="1:21" s="34" customFormat="1" ht="14.5" x14ac:dyDescent="0.35">
      <c r="A914" s="34" t="s">
        <v>44</v>
      </c>
      <c r="B914" s="34" t="s">
        <v>40</v>
      </c>
      <c r="C914" s="34" t="s">
        <v>2333</v>
      </c>
      <c r="D914" s="34" t="s">
        <v>1829</v>
      </c>
      <c r="E914" s="34" t="s">
        <v>1830</v>
      </c>
      <c r="F914" s="35">
        <v>46278</v>
      </c>
      <c r="G914" s="34" t="s">
        <v>38</v>
      </c>
      <c r="H914" s="34" t="s">
        <v>1775</v>
      </c>
      <c r="I914" s="34" t="s">
        <v>718</v>
      </c>
      <c r="J914" s="36"/>
      <c r="K914" s="36"/>
      <c r="L914" s="36"/>
      <c r="M914" s="36"/>
      <c r="N914" s="34" t="s">
        <v>1831</v>
      </c>
      <c r="O914" s="36">
        <v>12000</v>
      </c>
      <c r="P914" s="36"/>
      <c r="Q914" s="45">
        <f>P914/O914</f>
        <v>0</v>
      </c>
      <c r="R914" s="36"/>
      <c r="S914" s="37"/>
    </row>
    <row r="915" spans="1:21" s="34" customFormat="1" ht="14.5" x14ac:dyDescent="0.35">
      <c r="A915" t="s">
        <v>66</v>
      </c>
      <c r="B915" t="s">
        <v>40</v>
      </c>
      <c r="C915"/>
      <c r="D915" t="s">
        <v>1970</v>
      </c>
      <c r="E915" t="s">
        <v>1971</v>
      </c>
      <c r="F915" s="4">
        <v>46131</v>
      </c>
      <c r="G915" t="s">
        <v>38</v>
      </c>
      <c r="H915"/>
      <c r="I915" t="s">
        <v>22</v>
      </c>
      <c r="J915" t="s">
        <v>35</v>
      </c>
      <c r="K915" t="s">
        <v>35</v>
      </c>
      <c r="L915"/>
      <c r="M915"/>
      <c r="N915"/>
      <c r="O915" s="15">
        <v>15000</v>
      </c>
      <c r="P915" s="38"/>
      <c r="Q915" s="45">
        <f>P915/O915</f>
        <v>0</v>
      </c>
      <c r="R915" s="15"/>
      <c r="S915" s="15"/>
      <c r="T915"/>
      <c r="U915"/>
    </row>
    <row r="916" spans="1:21" s="34" customFormat="1" ht="14.5" x14ac:dyDescent="0.35">
      <c r="A916" s="34" t="s">
        <v>44</v>
      </c>
      <c r="B916" s="34" t="s">
        <v>40</v>
      </c>
      <c r="C916" s="34" t="s">
        <v>115</v>
      </c>
      <c r="D916" s="34" t="s">
        <v>115</v>
      </c>
      <c r="E916" s="34" t="s">
        <v>1804</v>
      </c>
      <c r="F916" s="35">
        <v>46180</v>
      </c>
      <c r="G916" s="34" t="s">
        <v>38</v>
      </c>
      <c r="H916" s="34" t="s">
        <v>1775</v>
      </c>
      <c r="I916" s="34" t="s">
        <v>718</v>
      </c>
      <c r="J916" s="38"/>
      <c r="K916" s="38"/>
      <c r="L916" s="38" t="s">
        <v>333</v>
      </c>
      <c r="M916" s="38" t="s">
        <v>333</v>
      </c>
      <c r="N916" s="34" t="s">
        <v>1805</v>
      </c>
      <c r="O916" s="38">
        <v>15000</v>
      </c>
      <c r="P916" s="38"/>
      <c r="Q916" s="45">
        <f>P916/O916</f>
        <v>0</v>
      </c>
      <c r="R916" s="38"/>
      <c r="S916" s="39"/>
    </row>
    <row r="917" spans="1:21" s="34" customFormat="1" ht="14.5" x14ac:dyDescent="0.35">
      <c r="A917" s="34" t="s">
        <v>44</v>
      </c>
      <c r="B917" s="34" t="s">
        <v>40</v>
      </c>
      <c r="C917" s="34" t="s">
        <v>331</v>
      </c>
      <c r="D917" s="34" t="s">
        <v>331</v>
      </c>
      <c r="E917" s="34" t="s">
        <v>1777</v>
      </c>
      <c r="F917" s="35">
        <v>46320</v>
      </c>
      <c r="G917" s="34" t="s">
        <v>38</v>
      </c>
      <c r="H917" s="34" t="s">
        <v>1775</v>
      </c>
      <c r="I917" s="34" t="s">
        <v>718</v>
      </c>
      <c r="J917" s="36"/>
      <c r="K917" s="36"/>
      <c r="L917" s="36"/>
      <c r="M917" s="36"/>
      <c r="N917" s="34" t="s">
        <v>1778</v>
      </c>
      <c r="O917" s="36">
        <v>25000</v>
      </c>
      <c r="P917" s="36"/>
      <c r="Q917" s="45">
        <f>P917/O917</f>
        <v>0</v>
      </c>
      <c r="R917" s="38"/>
      <c r="S917" s="39"/>
    </row>
    <row r="918" spans="1:21" s="34" customFormat="1" ht="14.5" x14ac:dyDescent="0.35">
      <c r="A918" t="s">
        <v>66</v>
      </c>
      <c r="B918" t="s">
        <v>40</v>
      </c>
      <c r="C918"/>
      <c r="D918" t="s">
        <v>1977</v>
      </c>
      <c r="E918" t="s">
        <v>1978</v>
      </c>
      <c r="F918" s="4">
        <v>46285</v>
      </c>
      <c r="G918" t="s">
        <v>38</v>
      </c>
      <c r="H918"/>
      <c r="I918" t="s">
        <v>22</v>
      </c>
      <c r="J918" t="s">
        <v>35</v>
      </c>
      <c r="K918" t="s">
        <v>35</v>
      </c>
      <c r="L918"/>
      <c r="M918"/>
      <c r="N918" t="s">
        <v>495</v>
      </c>
      <c r="O918" s="15"/>
      <c r="P918" s="38"/>
      <c r="Q918" s="45" t="e">
        <f>P918/O918</f>
        <v>#DIV/0!</v>
      </c>
      <c r="R918" s="15"/>
      <c r="S918" s="15"/>
      <c r="T918"/>
      <c r="U918"/>
    </row>
    <row r="919" spans="1:21" s="34" customFormat="1" ht="14.5" x14ac:dyDescent="0.35">
      <c r="A919" t="s">
        <v>66</v>
      </c>
      <c r="B919" t="s">
        <v>40</v>
      </c>
      <c r="C919"/>
      <c r="D919" t="s">
        <v>1984</v>
      </c>
      <c r="E919" t="s">
        <v>1985</v>
      </c>
      <c r="F919" s="4">
        <v>46173</v>
      </c>
      <c r="G919" t="s">
        <v>38</v>
      </c>
      <c r="H919"/>
      <c r="I919" t="s">
        <v>22</v>
      </c>
      <c r="J919"/>
      <c r="K919" t="s">
        <v>35</v>
      </c>
      <c r="L919" t="s">
        <v>35</v>
      </c>
      <c r="M919" t="s">
        <v>35</v>
      </c>
      <c r="N919"/>
      <c r="O919" s="15"/>
      <c r="P919" s="38"/>
      <c r="Q919" s="45" t="e">
        <f>P919/O919</f>
        <v>#DIV/0!</v>
      </c>
      <c r="R919" s="15"/>
      <c r="S919" s="15"/>
      <c r="T919"/>
      <c r="U919"/>
    </row>
    <row r="920" spans="1:21" s="34" customFormat="1" ht="14.5" x14ac:dyDescent="0.35">
      <c r="A920" t="s">
        <v>66</v>
      </c>
      <c r="B920" t="s">
        <v>40</v>
      </c>
      <c r="C920"/>
      <c r="D920" t="s">
        <v>1988</v>
      </c>
      <c r="E920" t="s">
        <v>1989</v>
      </c>
      <c r="F920" s="4">
        <v>46200</v>
      </c>
      <c r="G920" t="s">
        <v>38</v>
      </c>
      <c r="H920"/>
      <c r="I920" t="s">
        <v>22</v>
      </c>
      <c r="J920" t="s">
        <v>35</v>
      </c>
      <c r="K920" t="s">
        <v>35</v>
      </c>
      <c r="L920" t="s">
        <v>35</v>
      </c>
      <c r="M920"/>
      <c r="N920" t="s">
        <v>495</v>
      </c>
      <c r="O920" s="15"/>
      <c r="P920" s="38"/>
      <c r="Q920" s="45" t="e">
        <f>P920/O920</f>
        <v>#DIV/0!</v>
      </c>
      <c r="R920" s="15"/>
      <c r="S920" s="15"/>
      <c r="T920"/>
      <c r="U920"/>
    </row>
    <row r="921" spans="1:21" s="34" customFormat="1" ht="14.5" x14ac:dyDescent="0.35">
      <c r="A921" t="s">
        <v>66</v>
      </c>
      <c r="B921" t="s">
        <v>40</v>
      </c>
      <c r="C921"/>
      <c r="D921" t="s">
        <v>2000</v>
      </c>
      <c r="E921" t="s">
        <v>2001</v>
      </c>
      <c r="F921" s="4">
        <v>46264</v>
      </c>
      <c r="G921" t="s">
        <v>38</v>
      </c>
      <c r="H921"/>
      <c r="I921" t="s">
        <v>22</v>
      </c>
      <c r="J921"/>
      <c r="K921" t="s">
        <v>35</v>
      </c>
      <c r="L921"/>
      <c r="M921"/>
      <c r="N921">
        <v>11</v>
      </c>
      <c r="O921" s="15"/>
      <c r="P921" s="38"/>
      <c r="Q921" s="45" t="e">
        <f>P921/O921</f>
        <v>#DIV/0!</v>
      </c>
      <c r="R921" s="15"/>
      <c r="S921" s="15"/>
      <c r="T921"/>
      <c r="U921"/>
    </row>
    <row r="922" spans="1:21" s="34" customFormat="1" ht="14.5" x14ac:dyDescent="0.35">
      <c r="A922" t="s">
        <v>66</v>
      </c>
      <c r="B922" t="s">
        <v>40</v>
      </c>
      <c r="C922"/>
      <c r="D922" t="s">
        <v>2002</v>
      </c>
      <c r="E922" t="s">
        <v>2003</v>
      </c>
      <c r="F922" s="4">
        <v>46158</v>
      </c>
      <c r="G922" t="s">
        <v>38</v>
      </c>
      <c r="H922"/>
      <c r="I922" t="s">
        <v>22</v>
      </c>
      <c r="J922" t="s">
        <v>35</v>
      </c>
      <c r="K922" t="s">
        <v>35</v>
      </c>
      <c r="L922"/>
      <c r="M922"/>
      <c r="N922"/>
      <c r="O922" s="15"/>
      <c r="P922" s="38"/>
      <c r="Q922" s="45" t="e">
        <f>P922/O922</f>
        <v>#DIV/0!</v>
      </c>
      <c r="R922" s="15"/>
      <c r="S922" s="15"/>
      <c r="T922"/>
      <c r="U922"/>
    </row>
    <row r="923" spans="1:21" s="34" customFormat="1" ht="14.5" x14ac:dyDescent="0.35">
      <c r="A923" t="s">
        <v>181</v>
      </c>
      <c r="B923" t="s">
        <v>40</v>
      </c>
      <c r="C923"/>
      <c r="D923" t="s">
        <v>182</v>
      </c>
      <c r="E923" t="s">
        <v>2018</v>
      </c>
      <c r="F923" s="4">
        <v>46047</v>
      </c>
      <c r="G923" t="s">
        <v>38</v>
      </c>
      <c r="H923" t="s">
        <v>1775</v>
      </c>
      <c r="I923" t="s">
        <v>956</v>
      </c>
      <c r="J923" t="s">
        <v>35</v>
      </c>
      <c r="K923" t="s">
        <v>35</v>
      </c>
      <c r="L923"/>
      <c r="M923"/>
      <c r="N923">
        <v>10.6</v>
      </c>
      <c r="O923" s="15"/>
      <c r="P923" s="38"/>
      <c r="Q923" s="45" t="e">
        <f>P923/O923</f>
        <v>#DIV/0!</v>
      </c>
      <c r="R923" s="15"/>
      <c r="S923" s="15"/>
      <c r="T923"/>
      <c r="U923"/>
    </row>
    <row r="924" spans="1:21" s="34" customFormat="1" ht="14.5" x14ac:dyDescent="0.35">
      <c r="A924" t="s">
        <v>2084</v>
      </c>
      <c r="B924" t="s">
        <v>40</v>
      </c>
      <c r="C924"/>
      <c r="D924" t="s">
        <v>2085</v>
      </c>
      <c r="E924" t="s">
        <v>2086</v>
      </c>
      <c r="F924" s="4">
        <v>46278</v>
      </c>
      <c r="G924" t="s">
        <v>38</v>
      </c>
      <c r="H924"/>
      <c r="I924" t="s">
        <v>22</v>
      </c>
      <c r="J924"/>
      <c r="K924" t="s">
        <v>35</v>
      </c>
      <c r="L924"/>
      <c r="M924"/>
      <c r="N924"/>
      <c r="O924" s="15"/>
      <c r="P924" s="38"/>
      <c r="Q924" s="45" t="e">
        <f>P924/O924</f>
        <v>#DIV/0!</v>
      </c>
      <c r="R924" s="15"/>
      <c r="S924" s="15"/>
      <c r="T924"/>
      <c r="U924" t="s">
        <v>2087</v>
      </c>
    </row>
    <row r="925" spans="1:21" s="34" customFormat="1" ht="14.5" x14ac:dyDescent="0.35">
      <c r="A925" t="s">
        <v>581</v>
      </c>
      <c r="B925" t="s">
        <v>40</v>
      </c>
      <c r="C925"/>
      <c r="D925" t="s">
        <v>582</v>
      </c>
      <c r="E925" t="s">
        <v>2093</v>
      </c>
      <c r="F925" s="4">
        <v>46124</v>
      </c>
      <c r="G925" t="s">
        <v>38</v>
      </c>
      <c r="H925"/>
      <c r="I925" t="s">
        <v>208</v>
      </c>
      <c r="J925" t="s">
        <v>35</v>
      </c>
      <c r="K925" t="s">
        <v>35</v>
      </c>
      <c r="L925"/>
      <c r="M925"/>
      <c r="N925">
        <v>13</v>
      </c>
      <c r="O925" s="15"/>
      <c r="P925" s="38"/>
      <c r="Q925" s="45" t="e">
        <f>P925/O925</f>
        <v>#DIV/0!</v>
      </c>
      <c r="R925" s="15"/>
      <c r="S925" s="15"/>
      <c r="T925"/>
      <c r="U925" t="s">
        <v>2094</v>
      </c>
    </row>
    <row r="926" spans="1:21" s="34" customFormat="1" ht="14.5" x14ac:dyDescent="0.35">
      <c r="A926" t="s">
        <v>2127</v>
      </c>
      <c r="B926" t="s">
        <v>40</v>
      </c>
      <c r="C926"/>
      <c r="D926" t="s">
        <v>872</v>
      </c>
      <c r="E926" t="s">
        <v>2283</v>
      </c>
      <c r="F926" s="4">
        <v>46096</v>
      </c>
      <c r="G926" t="s">
        <v>38</v>
      </c>
      <c r="H926"/>
      <c r="I926" t="s">
        <v>22</v>
      </c>
      <c r="J926"/>
      <c r="K926" t="s">
        <v>35</v>
      </c>
      <c r="L926"/>
      <c r="M926" t="s">
        <v>35</v>
      </c>
      <c r="N926"/>
      <c r="O926" s="15"/>
      <c r="P926" s="38"/>
      <c r="Q926" s="45" t="e">
        <f>P926/O926</f>
        <v>#DIV/0!</v>
      </c>
      <c r="R926" s="15"/>
      <c r="S926" s="15"/>
      <c r="T926"/>
      <c r="U926" t="s">
        <v>1230</v>
      </c>
    </row>
    <row r="927" spans="1:21" s="34" customFormat="1" ht="14.5" x14ac:dyDescent="0.35">
      <c r="A927" t="s">
        <v>1527</v>
      </c>
      <c r="B927" t="s">
        <v>201</v>
      </c>
      <c r="C927"/>
      <c r="D927" t="s">
        <v>2264</v>
      </c>
      <c r="E927" t="s">
        <v>2265</v>
      </c>
      <c r="F927" s="4">
        <v>46361</v>
      </c>
      <c r="G927" t="s">
        <v>38</v>
      </c>
      <c r="H927"/>
      <c r="I927" t="s">
        <v>895</v>
      </c>
      <c r="J927"/>
      <c r="K927"/>
      <c r="L927"/>
      <c r="M927"/>
      <c r="N927"/>
      <c r="O927" s="15"/>
      <c r="P927" s="38"/>
      <c r="Q927" s="45" t="e">
        <f>P927/O927</f>
        <v>#DIV/0!</v>
      </c>
      <c r="R927" s="15"/>
      <c r="S927" s="15"/>
      <c r="T927"/>
      <c r="U927" t="s">
        <v>2266</v>
      </c>
    </row>
    <row r="928" spans="1:21" s="34" customFormat="1" ht="14.5" x14ac:dyDescent="0.35">
      <c r="A928" s="34" t="s">
        <v>44</v>
      </c>
      <c r="B928" s="34" t="s">
        <v>40</v>
      </c>
      <c r="C928" s="34" t="s">
        <v>2319</v>
      </c>
      <c r="D928" s="34" t="s">
        <v>2459</v>
      </c>
      <c r="E928" s="34" t="s">
        <v>2460</v>
      </c>
      <c r="F928" s="35">
        <v>46313</v>
      </c>
      <c r="G928" s="34" t="s">
        <v>1784</v>
      </c>
      <c r="H928" s="34" t="s">
        <v>1775</v>
      </c>
      <c r="I928" s="34" t="s">
        <v>22</v>
      </c>
      <c r="J928" s="38"/>
      <c r="K928" s="38"/>
      <c r="L928" s="38" t="s">
        <v>333</v>
      </c>
      <c r="M928" s="38" t="s">
        <v>333</v>
      </c>
      <c r="O928" s="38">
        <v>1000</v>
      </c>
      <c r="P928" s="38"/>
      <c r="Q928" s="45">
        <f>P928/O928</f>
        <v>0</v>
      </c>
      <c r="R928" s="38"/>
      <c r="S928" s="39"/>
    </row>
    <row r="929" spans="1:21" s="34" customFormat="1" ht="14.5" x14ac:dyDescent="0.35">
      <c r="A929" s="34" t="s">
        <v>44</v>
      </c>
      <c r="B929" s="34" t="s">
        <v>40</v>
      </c>
      <c r="C929" s="34" t="s">
        <v>331</v>
      </c>
      <c r="D929" s="34" t="s">
        <v>2441</v>
      </c>
      <c r="E929" s="34" t="s">
        <v>2442</v>
      </c>
      <c r="F929" s="35">
        <v>46089</v>
      </c>
      <c r="G929" s="34" t="s">
        <v>1784</v>
      </c>
      <c r="H929" s="34" t="s">
        <v>1775</v>
      </c>
      <c r="I929" s="34" t="s">
        <v>22</v>
      </c>
      <c r="J929" s="38" t="s">
        <v>333</v>
      </c>
      <c r="K929" s="38"/>
      <c r="L929" s="38"/>
      <c r="M929" s="38"/>
      <c r="O929" s="38">
        <v>1500</v>
      </c>
      <c r="P929" s="38"/>
      <c r="Q929" s="45">
        <f>P929/O929</f>
        <v>0</v>
      </c>
      <c r="R929" s="38"/>
      <c r="S929" s="39"/>
    </row>
    <row r="930" spans="1:21" s="34" customFormat="1" ht="14.5" x14ac:dyDescent="0.35">
      <c r="A930" s="34" t="s">
        <v>44</v>
      </c>
      <c r="B930" s="34" t="s">
        <v>40</v>
      </c>
      <c r="C930" s="34" t="s">
        <v>2319</v>
      </c>
      <c r="D930" s="34" t="s">
        <v>1939</v>
      </c>
      <c r="E930" s="34" t="s">
        <v>2443</v>
      </c>
      <c r="F930" s="35">
        <v>46341</v>
      </c>
      <c r="G930" s="34" t="s">
        <v>1784</v>
      </c>
      <c r="H930" s="34" t="s">
        <v>1775</v>
      </c>
      <c r="I930" s="34" t="s">
        <v>22</v>
      </c>
      <c r="J930" s="36"/>
      <c r="K930" s="36"/>
      <c r="L930" s="36"/>
      <c r="M930" s="36"/>
      <c r="N930" s="34" t="s">
        <v>1883</v>
      </c>
      <c r="O930" s="36">
        <v>1500</v>
      </c>
      <c r="P930" s="36"/>
      <c r="Q930" s="45">
        <f>P930/O930</f>
        <v>0</v>
      </c>
      <c r="R930" s="38"/>
      <c r="S930" s="39"/>
    </row>
    <row r="931" spans="1:21" s="34" customFormat="1" ht="14.5" x14ac:dyDescent="0.35">
      <c r="A931" s="34" t="s">
        <v>44</v>
      </c>
      <c r="B931" s="34" t="s">
        <v>40</v>
      </c>
      <c r="C931" s="34" t="s">
        <v>2333</v>
      </c>
      <c r="D931" s="34" t="s">
        <v>2437</v>
      </c>
      <c r="E931" s="34" t="s">
        <v>2438</v>
      </c>
      <c r="F931" s="35">
        <v>46089</v>
      </c>
      <c r="G931" s="34" t="s">
        <v>1784</v>
      </c>
      <c r="H931" s="34" t="s">
        <v>1775</v>
      </c>
      <c r="I931" t="s">
        <v>488</v>
      </c>
      <c r="J931" s="36"/>
      <c r="K931" s="36"/>
      <c r="L931" s="36" t="s">
        <v>333</v>
      </c>
      <c r="M931" s="36" t="s">
        <v>333</v>
      </c>
      <c r="N931" s="34" t="s">
        <v>311</v>
      </c>
      <c r="O931" s="36">
        <v>1700</v>
      </c>
      <c r="P931" s="36"/>
      <c r="Q931" s="45">
        <f>P931/O931</f>
        <v>0</v>
      </c>
      <c r="R931" s="36"/>
      <c r="S931" s="37"/>
    </row>
    <row r="932" spans="1:21" s="34" customFormat="1" ht="14.5" x14ac:dyDescent="0.35">
      <c r="A932" s="34" t="s">
        <v>44</v>
      </c>
      <c r="B932" s="34" t="s">
        <v>40</v>
      </c>
      <c r="C932" s="34" t="s">
        <v>331</v>
      </c>
      <c r="D932" s="34" t="s">
        <v>331</v>
      </c>
      <c r="E932" s="34" t="s">
        <v>2424</v>
      </c>
      <c r="F932" s="35">
        <v>46291</v>
      </c>
      <c r="G932" s="34" t="s">
        <v>1784</v>
      </c>
      <c r="H932" s="34" t="s">
        <v>1775</v>
      </c>
      <c r="I932" s="34" t="s">
        <v>22</v>
      </c>
      <c r="J932" s="36"/>
      <c r="K932" s="36"/>
      <c r="L932" s="36"/>
      <c r="M932" s="36"/>
      <c r="N932" s="34" t="s">
        <v>2425</v>
      </c>
      <c r="O932" s="36">
        <v>2000</v>
      </c>
      <c r="P932" s="36"/>
      <c r="Q932" s="45">
        <f>P932/O932</f>
        <v>0</v>
      </c>
      <c r="R932" s="38"/>
      <c r="S932" s="39"/>
    </row>
    <row r="933" spans="1:21" s="34" customFormat="1" ht="14.5" x14ac:dyDescent="0.35">
      <c r="A933" s="34" t="s">
        <v>44</v>
      </c>
      <c r="B933" s="34" t="s">
        <v>40</v>
      </c>
      <c r="C933" s="34" t="s">
        <v>561</v>
      </c>
      <c r="D933" s="34" t="s">
        <v>1782</v>
      </c>
      <c r="E933" s="34" t="s">
        <v>2426</v>
      </c>
      <c r="F933" s="35">
        <v>46110</v>
      </c>
      <c r="G933" s="34" t="s">
        <v>1784</v>
      </c>
      <c r="H933" s="34" t="s">
        <v>1775</v>
      </c>
      <c r="J933" s="38"/>
      <c r="K933" s="38"/>
      <c r="L933" s="38" t="s">
        <v>333</v>
      </c>
      <c r="M933" s="38"/>
      <c r="N933" s="34" t="s">
        <v>2427</v>
      </c>
      <c r="O933" s="36">
        <v>2000</v>
      </c>
      <c r="P933" s="36"/>
      <c r="Q933" s="45">
        <f>P933/O933</f>
        <v>0</v>
      </c>
      <c r="R933" s="38"/>
      <c r="S933" s="39"/>
    </row>
    <row r="934" spans="1:21" s="34" customFormat="1" ht="14.5" x14ac:dyDescent="0.35">
      <c r="A934" s="34" t="s">
        <v>44</v>
      </c>
      <c r="B934" s="34" t="s">
        <v>40</v>
      </c>
      <c r="C934" s="34" t="s">
        <v>2331</v>
      </c>
      <c r="D934" s="34" t="s">
        <v>1835</v>
      </c>
      <c r="E934" s="34" t="s">
        <v>2417</v>
      </c>
      <c r="F934" s="35">
        <v>46124</v>
      </c>
      <c r="G934" s="34" t="s">
        <v>1784</v>
      </c>
      <c r="H934" s="34" t="s">
        <v>1775</v>
      </c>
      <c r="I934" s="34" t="s">
        <v>22</v>
      </c>
      <c r="J934" s="36"/>
      <c r="K934" s="36"/>
      <c r="L934" s="36"/>
      <c r="M934" s="36"/>
      <c r="N934" s="34" t="s">
        <v>1883</v>
      </c>
      <c r="O934" s="36">
        <v>2400</v>
      </c>
      <c r="P934" s="36"/>
      <c r="Q934" s="45">
        <f>P934/O934</f>
        <v>0</v>
      </c>
      <c r="R934" s="38"/>
      <c r="S934" s="39"/>
    </row>
    <row r="935" spans="1:21" s="34" customFormat="1" ht="14.5" x14ac:dyDescent="0.35">
      <c r="A935" s="34" t="s">
        <v>44</v>
      </c>
      <c r="B935" s="34" t="s">
        <v>40</v>
      </c>
      <c r="C935" s="34" t="s">
        <v>2319</v>
      </c>
      <c r="D935" s="34" t="s">
        <v>2410</v>
      </c>
      <c r="E935" s="34" t="s">
        <v>2411</v>
      </c>
      <c r="F935" s="35">
        <v>46117</v>
      </c>
      <c r="G935" s="34" t="s">
        <v>1784</v>
      </c>
      <c r="H935" s="34" t="s">
        <v>1775</v>
      </c>
      <c r="I935" s="34" t="s">
        <v>22</v>
      </c>
      <c r="J935" s="38"/>
      <c r="K935" s="38">
        <v>1350</v>
      </c>
      <c r="L935" s="38">
        <v>1150</v>
      </c>
      <c r="M935" s="38"/>
      <c r="O935" s="38">
        <v>2500</v>
      </c>
      <c r="P935" s="38"/>
      <c r="Q935" s="45">
        <f>P935/O935</f>
        <v>0</v>
      </c>
      <c r="R935" s="38"/>
      <c r="S935" s="39"/>
    </row>
    <row r="936" spans="1:21" s="34" customFormat="1" ht="14.5" x14ac:dyDescent="0.35">
      <c r="A936" s="34" t="s">
        <v>44</v>
      </c>
      <c r="B936" s="34" t="s">
        <v>40</v>
      </c>
      <c r="C936" s="34" t="s">
        <v>331</v>
      </c>
      <c r="D936" s="34" t="s">
        <v>2394</v>
      </c>
      <c r="E936" s="34" t="s">
        <v>2395</v>
      </c>
      <c r="F936" s="35">
        <v>46145</v>
      </c>
      <c r="G936" s="34" t="s">
        <v>1784</v>
      </c>
      <c r="H936" s="34" t="s">
        <v>1775</v>
      </c>
      <c r="I936" s="34" t="s">
        <v>22</v>
      </c>
      <c r="J936" s="36" t="s">
        <v>333</v>
      </c>
      <c r="K936" s="36" t="s">
        <v>333</v>
      </c>
      <c r="L936" s="36" t="s">
        <v>333</v>
      </c>
      <c r="M936" s="36" t="s">
        <v>333</v>
      </c>
      <c r="N936" s="36" t="s">
        <v>687</v>
      </c>
      <c r="O936" s="36">
        <v>3000</v>
      </c>
      <c r="P936" s="36"/>
      <c r="Q936" s="45">
        <f>P936/O936</f>
        <v>0</v>
      </c>
      <c r="R936" s="36"/>
      <c r="S936" s="37"/>
    </row>
    <row r="937" spans="1:21" s="34" customFormat="1" ht="14.5" x14ac:dyDescent="0.35">
      <c r="A937" s="34" t="s">
        <v>44</v>
      </c>
      <c r="B937" s="34" t="s">
        <v>40</v>
      </c>
      <c r="C937" s="34" t="s">
        <v>163</v>
      </c>
      <c r="D937" s="34" t="s">
        <v>2389</v>
      </c>
      <c r="E937" s="34" t="s">
        <v>2390</v>
      </c>
      <c r="F937" s="35">
        <v>46089</v>
      </c>
      <c r="G937" s="34" t="s">
        <v>1784</v>
      </c>
      <c r="H937" s="34" t="s">
        <v>1775</v>
      </c>
      <c r="I937" s="34" t="s">
        <v>22</v>
      </c>
      <c r="J937" s="38"/>
      <c r="K937" s="38" t="s">
        <v>333</v>
      </c>
      <c r="L937" s="38" t="s">
        <v>333</v>
      </c>
      <c r="M937" s="38"/>
      <c r="O937" s="36">
        <v>3200</v>
      </c>
      <c r="P937" s="36"/>
      <c r="Q937" s="45">
        <f>P937/O937</f>
        <v>0</v>
      </c>
      <c r="R937" s="38"/>
      <c r="S937" s="39"/>
    </row>
    <row r="938" spans="1:21" s="34" customFormat="1" ht="14.5" x14ac:dyDescent="0.35">
      <c r="A938" s="34" t="s">
        <v>44</v>
      </c>
      <c r="B938" s="34" t="s">
        <v>40</v>
      </c>
      <c r="C938" s="34" t="s">
        <v>2333</v>
      </c>
      <c r="D938" s="34" t="s">
        <v>2344</v>
      </c>
      <c r="E938" s="34" t="s">
        <v>2345</v>
      </c>
      <c r="F938" s="35">
        <v>46075</v>
      </c>
      <c r="G938" s="34" t="s">
        <v>1784</v>
      </c>
      <c r="H938" s="34" t="s">
        <v>1775</v>
      </c>
      <c r="I938" s="34" t="s">
        <v>22</v>
      </c>
      <c r="J938" s="36"/>
      <c r="K938" s="36" t="s">
        <v>333</v>
      </c>
      <c r="L938" s="36" t="s">
        <v>333</v>
      </c>
      <c r="M938" s="36"/>
      <c r="N938" s="34" t="s">
        <v>2346</v>
      </c>
      <c r="O938" s="40" t="s">
        <v>2330</v>
      </c>
      <c r="P938" s="40"/>
      <c r="Q938" s="45" t="e">
        <f>P938/O938</f>
        <v>#VALUE!</v>
      </c>
      <c r="R938" s="36" t="s">
        <v>2330</v>
      </c>
      <c r="S938" s="37"/>
    </row>
    <row r="939" spans="1:21" s="34" customFormat="1" ht="14.5" x14ac:dyDescent="0.35">
      <c r="A939" s="34" t="s">
        <v>44</v>
      </c>
      <c r="B939" s="34" t="s">
        <v>40</v>
      </c>
      <c r="C939" s="34" t="s">
        <v>2323</v>
      </c>
      <c r="D939" s="34" t="s">
        <v>2461</v>
      </c>
      <c r="E939" s="34" t="s">
        <v>2462</v>
      </c>
      <c r="F939" s="35">
        <v>46212</v>
      </c>
      <c r="G939" s="34" t="s">
        <v>453</v>
      </c>
      <c r="H939" s="34" t="s">
        <v>1775</v>
      </c>
      <c r="I939" t="s">
        <v>488</v>
      </c>
      <c r="J939" s="36"/>
      <c r="K939" s="36"/>
      <c r="L939" s="36"/>
      <c r="M939" s="36"/>
      <c r="N939" s="34" t="s">
        <v>2463</v>
      </c>
      <c r="O939" s="36">
        <v>1000</v>
      </c>
      <c r="P939" s="36"/>
      <c r="Q939" s="45">
        <f>P939/O939</f>
        <v>0</v>
      </c>
      <c r="R939" s="38"/>
      <c r="S939" s="39"/>
    </row>
    <row r="940" spans="1:21" s="34" customFormat="1" ht="14.5" x14ac:dyDescent="0.35">
      <c r="A940" t="s">
        <v>110</v>
      </c>
      <c r="B940" t="s">
        <v>31</v>
      </c>
      <c r="C940"/>
      <c r="D940" t="s">
        <v>2137</v>
      </c>
      <c r="E940" t="s">
        <v>2138</v>
      </c>
      <c r="F940" s="4">
        <v>46201</v>
      </c>
      <c r="G940" t="s">
        <v>2132</v>
      </c>
      <c r="H940"/>
      <c r="I940" t="s">
        <v>22</v>
      </c>
      <c r="J940"/>
      <c r="K940" t="s">
        <v>35</v>
      </c>
      <c r="L940" t="s">
        <v>35</v>
      </c>
      <c r="M940" t="s">
        <v>35</v>
      </c>
      <c r="N940"/>
      <c r="O940" s="15"/>
      <c r="P940" s="38"/>
      <c r="Q940" s="45" t="e">
        <f>P940/O940</f>
        <v>#DIV/0!</v>
      </c>
      <c r="R940" s="15"/>
      <c r="S940" s="15"/>
      <c r="T940"/>
      <c r="U940"/>
    </row>
    <row r="941" spans="1:21" s="34" customFormat="1" ht="14.5" x14ac:dyDescent="0.35">
      <c r="A941" s="34" t="s">
        <v>44</v>
      </c>
      <c r="B941" s="34" t="s">
        <v>40</v>
      </c>
      <c r="C941" s="34" t="s">
        <v>2332</v>
      </c>
      <c r="D941" s="34" t="s">
        <v>2338</v>
      </c>
      <c r="E941" s="34" t="s">
        <v>2421</v>
      </c>
      <c r="F941" s="35">
        <v>46197</v>
      </c>
      <c r="G941" s="34" t="s">
        <v>2422</v>
      </c>
      <c r="H941" s="34" t="s">
        <v>1775</v>
      </c>
      <c r="I941" t="s">
        <v>488</v>
      </c>
      <c r="J941" s="38"/>
      <c r="K941" s="38"/>
      <c r="L941" s="38"/>
      <c r="M941" s="38"/>
      <c r="N941" s="34" t="s">
        <v>2423</v>
      </c>
      <c r="O941" s="38">
        <v>2000</v>
      </c>
      <c r="P941" s="38"/>
      <c r="Q941" s="45">
        <f>P941/O941</f>
        <v>0</v>
      </c>
      <c r="R941" s="38"/>
      <c r="S941" s="39"/>
    </row>
    <row r="942" spans="1:21" s="34" customFormat="1" ht="14.5" x14ac:dyDescent="0.35">
      <c r="A942" s="34" t="s">
        <v>44</v>
      </c>
      <c r="B942" s="34" t="s">
        <v>40</v>
      </c>
      <c r="C942" s="34" t="s">
        <v>2324</v>
      </c>
      <c r="D942" s="34" t="s">
        <v>2357</v>
      </c>
      <c r="E942" s="34" t="s">
        <v>2358</v>
      </c>
      <c r="F942" s="35">
        <v>46173</v>
      </c>
      <c r="G942" s="34" t="s">
        <v>2359</v>
      </c>
      <c r="H942" s="34" t="s">
        <v>1775</v>
      </c>
      <c r="I942" t="s">
        <v>488</v>
      </c>
      <c r="J942" s="36"/>
      <c r="K942" s="36"/>
      <c r="L942" s="36"/>
      <c r="M942" s="36"/>
      <c r="O942" s="36">
        <v>4800</v>
      </c>
      <c r="P942" s="36"/>
      <c r="Q942" s="45">
        <f>P942/O942</f>
        <v>0</v>
      </c>
      <c r="R942" s="36"/>
      <c r="S942" s="37"/>
    </row>
    <row r="943" spans="1:21" s="34" customFormat="1" ht="14.5" x14ac:dyDescent="0.35">
      <c r="A943" s="34" t="s">
        <v>44</v>
      </c>
      <c r="B943" s="34" t="s">
        <v>40</v>
      </c>
      <c r="C943" s="34" t="s">
        <v>2332</v>
      </c>
      <c r="D943" s="34" t="s">
        <v>2464</v>
      </c>
      <c r="E943" s="34" t="s">
        <v>2465</v>
      </c>
      <c r="F943" s="35">
        <v>46277</v>
      </c>
      <c r="G943" s="34" t="s">
        <v>1789</v>
      </c>
      <c r="H943" s="34" t="s">
        <v>1775</v>
      </c>
      <c r="I943" s="34" t="s">
        <v>2466</v>
      </c>
      <c r="J943" s="38"/>
      <c r="K943" s="38"/>
      <c r="L943" s="38"/>
      <c r="M943" s="38"/>
      <c r="O943" s="36">
        <v>570</v>
      </c>
      <c r="P943" s="36"/>
      <c r="Q943" s="45">
        <f>P943/O943</f>
        <v>0</v>
      </c>
      <c r="R943" s="38"/>
      <c r="S943" s="39"/>
    </row>
    <row r="944" spans="1:21" s="34" customFormat="1" ht="14.5" x14ac:dyDescent="0.35">
      <c r="A944" s="34" t="s">
        <v>44</v>
      </c>
      <c r="B944" s="34" t="s">
        <v>40</v>
      </c>
      <c r="C944" s="34" t="s">
        <v>2332</v>
      </c>
      <c r="D944" s="34" t="s">
        <v>2456</v>
      </c>
      <c r="E944" s="34" t="s">
        <v>2457</v>
      </c>
      <c r="F944" s="35">
        <v>46285</v>
      </c>
      <c r="G944" s="34" t="s">
        <v>1789</v>
      </c>
      <c r="H944" s="34" t="s">
        <v>1775</v>
      </c>
      <c r="I944" s="34" t="s">
        <v>895</v>
      </c>
      <c r="J944" s="38"/>
      <c r="K944" s="38"/>
      <c r="L944" s="38"/>
      <c r="M944" s="38"/>
      <c r="O944" s="36">
        <v>1000</v>
      </c>
      <c r="P944" s="36"/>
      <c r="Q944" s="45">
        <f>P944/O944</f>
        <v>0</v>
      </c>
      <c r="R944" s="38"/>
      <c r="S944" s="39"/>
    </row>
    <row r="945" spans="1:21" s="34" customFormat="1" ht="14.5" x14ac:dyDescent="0.35">
      <c r="A945" s="34" t="s">
        <v>44</v>
      </c>
      <c r="B945" s="34" t="s">
        <v>40</v>
      </c>
      <c r="C945" s="34" t="s">
        <v>2328</v>
      </c>
      <c r="D945" s="34" t="s">
        <v>2378</v>
      </c>
      <c r="E945" s="34" t="s">
        <v>2379</v>
      </c>
      <c r="F945" s="35">
        <v>46201</v>
      </c>
      <c r="G945" s="34" t="s">
        <v>1789</v>
      </c>
      <c r="H945" s="34" t="s">
        <v>1775</v>
      </c>
      <c r="I945" s="34" t="s">
        <v>22</v>
      </c>
      <c r="J945" s="36" t="s">
        <v>333</v>
      </c>
      <c r="K945" s="36"/>
      <c r="L945" s="36" t="s">
        <v>333</v>
      </c>
      <c r="M945" s="36"/>
      <c r="N945" s="34" t="s">
        <v>2380</v>
      </c>
      <c r="O945" s="36">
        <v>3850</v>
      </c>
      <c r="P945" s="36"/>
      <c r="Q945" s="45">
        <f>P945/O945</f>
        <v>0</v>
      </c>
      <c r="R945" s="36"/>
      <c r="S945" s="37"/>
    </row>
    <row r="946" spans="1:21" s="34" customFormat="1" ht="14.5" x14ac:dyDescent="0.35">
      <c r="A946" s="34" t="s">
        <v>44</v>
      </c>
      <c r="B946" s="34" t="s">
        <v>40</v>
      </c>
      <c r="C946" s="34" t="s">
        <v>2319</v>
      </c>
      <c r="D946" s="34" t="s">
        <v>1939</v>
      </c>
      <c r="E946" s="34" t="s">
        <v>2450</v>
      </c>
      <c r="F946" s="35">
        <v>46081</v>
      </c>
      <c r="G946" s="34" t="s">
        <v>2451</v>
      </c>
      <c r="H946" s="34" t="s">
        <v>1775</v>
      </c>
      <c r="I946" s="34" t="s">
        <v>465</v>
      </c>
      <c r="J946" s="36"/>
      <c r="K946" s="36"/>
      <c r="L946" s="36"/>
      <c r="M946" s="36"/>
      <c r="N946" s="34" t="s">
        <v>2452</v>
      </c>
      <c r="O946" s="36">
        <v>1200</v>
      </c>
      <c r="P946" s="36"/>
      <c r="Q946" s="45">
        <f>P946/O946</f>
        <v>0</v>
      </c>
      <c r="R946" s="38"/>
      <c r="S946" s="39"/>
    </row>
    <row r="947" spans="1:21" s="34" customFormat="1" ht="14.5" x14ac:dyDescent="0.35">
      <c r="A947" t="s">
        <v>507</v>
      </c>
      <c r="B947" t="s">
        <v>201</v>
      </c>
      <c r="C947"/>
      <c r="D947" t="s">
        <v>2293</v>
      </c>
      <c r="E947" t="s">
        <v>2294</v>
      </c>
      <c r="F947" s="11">
        <v>45933</v>
      </c>
      <c r="G947" t="s">
        <v>2295</v>
      </c>
      <c r="H947"/>
      <c r="I947" t="s">
        <v>22</v>
      </c>
      <c r="J947"/>
      <c r="K947" t="s">
        <v>35</v>
      </c>
      <c r="L947"/>
      <c r="M947"/>
      <c r="N947" t="s">
        <v>2296</v>
      </c>
      <c r="O947" s="15">
        <v>2500</v>
      </c>
      <c r="P947" s="38"/>
      <c r="Q947" s="45">
        <f>P947/O947</f>
        <v>0</v>
      </c>
      <c r="R947" s="15"/>
      <c r="S947" s="15"/>
      <c r="T947"/>
      <c r="U947"/>
    </row>
    <row r="948" spans="1:21" s="34" customFormat="1" ht="14.5" x14ac:dyDescent="0.35">
      <c r="A948" t="s">
        <v>581</v>
      </c>
      <c r="B948" t="s">
        <v>40</v>
      </c>
      <c r="C948"/>
      <c r="D948" t="s">
        <v>2081</v>
      </c>
      <c r="E948" t="s">
        <v>2082</v>
      </c>
      <c r="F948" s="4">
        <v>46166</v>
      </c>
      <c r="G948" t="s">
        <v>2083</v>
      </c>
      <c r="H948"/>
      <c r="I948" t="s">
        <v>22</v>
      </c>
      <c r="J948"/>
      <c r="K948" t="s">
        <v>35</v>
      </c>
      <c r="L948"/>
      <c r="M948"/>
      <c r="N948"/>
      <c r="O948" s="15"/>
      <c r="P948" s="38"/>
      <c r="Q948" s="45" t="e">
        <f>P948/O948</f>
        <v>#DIV/0!</v>
      </c>
      <c r="R948" s="15"/>
      <c r="S948" s="15"/>
      <c r="T948"/>
      <c r="U948"/>
    </row>
    <row r="949" spans="1:21" s="34" customFormat="1" ht="14.5" x14ac:dyDescent="0.35">
      <c r="A949" s="34" t="s">
        <v>44</v>
      </c>
      <c r="B949" s="34" t="s">
        <v>40</v>
      </c>
      <c r="C949" s="34" t="s">
        <v>2333</v>
      </c>
      <c r="D949" s="34" t="s">
        <v>1829</v>
      </c>
      <c r="E949" s="34" t="s">
        <v>2347</v>
      </c>
      <c r="F949" s="35">
        <v>46180</v>
      </c>
      <c r="G949" s="34" t="s">
        <v>1832</v>
      </c>
      <c r="H949" s="34" t="s">
        <v>1775</v>
      </c>
      <c r="I949" s="34" t="s">
        <v>22</v>
      </c>
      <c r="J949" s="38"/>
      <c r="K949" s="38" t="s">
        <v>333</v>
      </c>
      <c r="L949" s="38" t="s">
        <v>333</v>
      </c>
      <c r="M949" s="38" t="s">
        <v>333</v>
      </c>
      <c r="N949" s="38" t="s">
        <v>2348</v>
      </c>
      <c r="O949" s="40" t="s">
        <v>2330</v>
      </c>
      <c r="P949" s="40"/>
      <c r="Q949" s="45" t="e">
        <f>P949/O949</f>
        <v>#VALUE!</v>
      </c>
      <c r="R949" s="38"/>
      <c r="S949" s="39"/>
    </row>
    <row r="950" spans="1:21" s="34" customFormat="1" ht="14.5" x14ac:dyDescent="0.35">
      <c r="A950" t="s">
        <v>581</v>
      </c>
      <c r="B950" t="s">
        <v>40</v>
      </c>
      <c r="C950"/>
      <c r="D950" t="s">
        <v>582</v>
      </c>
      <c r="E950" t="s">
        <v>1959</v>
      </c>
      <c r="F950" s="4">
        <v>46159</v>
      </c>
      <c r="G950" t="s">
        <v>651</v>
      </c>
      <c r="H950" t="s">
        <v>48</v>
      </c>
      <c r="I950" t="s">
        <v>22</v>
      </c>
      <c r="J950"/>
      <c r="K950"/>
      <c r="L950" t="s">
        <v>35</v>
      </c>
      <c r="M950" t="s">
        <v>35</v>
      </c>
      <c r="N950">
        <v>4</v>
      </c>
      <c r="O950" s="15" t="s">
        <v>495</v>
      </c>
      <c r="P950" s="38"/>
      <c r="Q950" s="45" t="e">
        <f>P950/O950</f>
        <v>#VALUE!</v>
      </c>
      <c r="R950" s="15"/>
      <c r="S950" s="15"/>
      <c r="T950"/>
      <c r="U950"/>
    </row>
    <row r="951" spans="1:21" s="34" customFormat="1" ht="14.5" x14ac:dyDescent="0.35">
      <c r="A951" t="s">
        <v>581</v>
      </c>
      <c r="B951" t="s">
        <v>40</v>
      </c>
      <c r="C951"/>
      <c r="D951" t="s">
        <v>1957</v>
      </c>
      <c r="E951" t="s">
        <v>1958</v>
      </c>
      <c r="F951"/>
      <c r="G951" t="s">
        <v>651</v>
      </c>
      <c r="H951" t="s">
        <v>48</v>
      </c>
      <c r="I951" t="s">
        <v>22</v>
      </c>
      <c r="J951"/>
      <c r="K951" t="s">
        <v>35</v>
      </c>
      <c r="L951" t="s">
        <v>35</v>
      </c>
      <c r="M951" t="s">
        <v>35</v>
      </c>
      <c r="N951"/>
      <c r="O951" s="15"/>
      <c r="P951" s="38"/>
      <c r="Q951" s="45" t="e">
        <f>P951/O951</f>
        <v>#DIV/0!</v>
      </c>
      <c r="R951" s="15"/>
      <c r="S951" s="15"/>
      <c r="T951"/>
      <c r="U951"/>
    </row>
    <row r="952" spans="1:21" s="34" customFormat="1" ht="14.5" x14ac:dyDescent="0.35">
      <c r="A952" s="34" t="s">
        <v>44</v>
      </c>
      <c r="B952" s="34" t="s">
        <v>40</v>
      </c>
      <c r="C952" s="34" t="s">
        <v>2318</v>
      </c>
      <c r="D952" s="34" t="s">
        <v>1838</v>
      </c>
      <c r="E952" s="34" t="s">
        <v>1839</v>
      </c>
      <c r="F952" s="35">
        <v>46355</v>
      </c>
      <c r="G952" s="34" t="s">
        <v>464</v>
      </c>
      <c r="H952" s="34" t="s">
        <v>1775</v>
      </c>
      <c r="I952" t="s">
        <v>488</v>
      </c>
      <c r="J952" s="36"/>
      <c r="K952" s="36"/>
      <c r="L952" s="36" t="s">
        <v>333</v>
      </c>
      <c r="M952" s="36" t="s">
        <v>333</v>
      </c>
      <c r="O952" s="36">
        <v>12000</v>
      </c>
      <c r="P952" s="36"/>
      <c r="Q952" s="45">
        <f>P952/O952</f>
        <v>0</v>
      </c>
      <c r="R952" s="36"/>
      <c r="S952" s="37"/>
    </row>
    <row r="953" spans="1:21" s="34" customFormat="1" ht="14.5" x14ac:dyDescent="0.35">
      <c r="A953" s="34" t="s">
        <v>44</v>
      </c>
      <c r="B953" s="34" t="s">
        <v>40</v>
      </c>
      <c r="C953" s="34" t="s">
        <v>2335</v>
      </c>
      <c r="D953" s="34" t="s">
        <v>2370</v>
      </c>
      <c r="E953" s="34" t="s">
        <v>2371</v>
      </c>
      <c r="F953" s="35">
        <v>46319</v>
      </c>
      <c r="G953" s="34" t="s">
        <v>2368</v>
      </c>
      <c r="H953" s="34" t="s">
        <v>1775</v>
      </c>
      <c r="I953" s="34" t="s">
        <v>302</v>
      </c>
      <c r="J953" s="38" t="s">
        <v>333</v>
      </c>
      <c r="K953" s="38" t="s">
        <v>333</v>
      </c>
      <c r="L953" s="38"/>
      <c r="M953" s="38"/>
      <c r="N953" s="34" t="s">
        <v>2372</v>
      </c>
      <c r="O953" s="36">
        <v>4000</v>
      </c>
      <c r="P953" s="36"/>
      <c r="Q953" s="45">
        <f>P953/O953</f>
        <v>0</v>
      </c>
      <c r="R953" s="38"/>
      <c r="S953" s="39"/>
    </row>
    <row r="954" spans="1:21" s="34" customFormat="1" ht="14.5" x14ac:dyDescent="0.35">
      <c r="A954" s="34" t="s">
        <v>44</v>
      </c>
      <c r="B954" s="34" t="s">
        <v>40</v>
      </c>
      <c r="C954" s="34" t="s">
        <v>2328</v>
      </c>
      <c r="D954" s="34" t="s">
        <v>2366</v>
      </c>
      <c r="E954" s="34" t="s">
        <v>2373</v>
      </c>
      <c r="F954" s="35">
        <v>46306</v>
      </c>
      <c r="G954" s="34" t="s">
        <v>2368</v>
      </c>
      <c r="H954" s="34" t="s">
        <v>48</v>
      </c>
      <c r="I954" s="34" t="s">
        <v>22</v>
      </c>
      <c r="J954" s="38" t="s">
        <v>333</v>
      </c>
      <c r="K954" s="38"/>
      <c r="L954" s="38"/>
      <c r="M954" s="38"/>
      <c r="N954" s="34" t="s">
        <v>2374</v>
      </c>
      <c r="O954" s="38">
        <v>4000</v>
      </c>
      <c r="P954" s="38"/>
      <c r="Q954" s="45">
        <f>P954/O954</f>
        <v>0</v>
      </c>
      <c r="R954" s="38"/>
      <c r="S954" s="39"/>
    </row>
    <row r="955" spans="1:21" s="34" customFormat="1" ht="14.5" x14ac:dyDescent="0.35">
      <c r="A955" s="34" t="s">
        <v>44</v>
      </c>
      <c r="B955" s="34" t="s">
        <v>40</v>
      </c>
      <c r="C955" s="34" t="s">
        <v>2328</v>
      </c>
      <c r="D955" s="34" t="s">
        <v>2366</v>
      </c>
      <c r="E955" s="34" t="s">
        <v>2367</v>
      </c>
      <c r="F955" s="35">
        <v>46110</v>
      </c>
      <c r="G955" s="34" t="s">
        <v>2368</v>
      </c>
      <c r="H955" s="34" t="s">
        <v>48</v>
      </c>
      <c r="I955" t="s">
        <v>488</v>
      </c>
      <c r="J955" s="38"/>
      <c r="K955" s="38"/>
      <c r="L955" s="38"/>
      <c r="M955" s="38"/>
      <c r="N955" s="34" t="s">
        <v>2369</v>
      </c>
      <c r="O955" s="36">
        <v>4500</v>
      </c>
      <c r="P955" s="36"/>
      <c r="Q955" s="45">
        <f>P955/O955</f>
        <v>0</v>
      </c>
      <c r="R955" s="38"/>
      <c r="S955" s="39"/>
    </row>
    <row r="956" spans="1:21" s="34" customFormat="1" ht="14.5" x14ac:dyDescent="0.35">
      <c r="A956" s="34" t="s">
        <v>44</v>
      </c>
      <c r="B956" s="34" t="s">
        <v>40</v>
      </c>
      <c r="C956" s="34" t="s">
        <v>2318</v>
      </c>
      <c r="D956" s="34" t="s">
        <v>278</v>
      </c>
      <c r="E956" s="34" t="s">
        <v>2341</v>
      </c>
      <c r="F956" s="35">
        <v>46215</v>
      </c>
      <c r="G956" s="34" t="s">
        <v>2342</v>
      </c>
      <c r="H956" s="34" t="s">
        <v>1775</v>
      </c>
      <c r="I956" s="34" t="s">
        <v>2343</v>
      </c>
      <c r="J956" s="38"/>
      <c r="K956" s="38"/>
      <c r="L956" s="38"/>
      <c r="M956" s="38"/>
      <c r="O956" s="40" t="s">
        <v>2330</v>
      </c>
      <c r="P956" s="40"/>
      <c r="Q956" s="45" t="e">
        <f>P956/O956</f>
        <v>#VALUE!</v>
      </c>
      <c r="R956" s="38"/>
      <c r="S956" s="39"/>
    </row>
    <row r="957" spans="1:21" s="34" customFormat="1" ht="14.5" x14ac:dyDescent="0.35">
      <c r="A957" s="34" t="s">
        <v>44</v>
      </c>
      <c r="B957" s="34" t="s">
        <v>40</v>
      </c>
      <c r="C957" s="34" t="s">
        <v>503</v>
      </c>
      <c r="D957" s="34" t="s">
        <v>2349</v>
      </c>
      <c r="E957" s="34" t="s">
        <v>2350</v>
      </c>
      <c r="F957" s="35">
        <v>46138</v>
      </c>
      <c r="G957" s="34" t="s">
        <v>2351</v>
      </c>
      <c r="H957" s="34" t="s">
        <v>1775</v>
      </c>
      <c r="I957" s="34" t="s">
        <v>22</v>
      </c>
      <c r="J957" s="38"/>
      <c r="K957" s="38"/>
      <c r="L957" s="38"/>
      <c r="M957" s="38"/>
      <c r="N957" s="34" t="s">
        <v>2352</v>
      </c>
      <c r="O957" s="40" t="s">
        <v>2330</v>
      </c>
      <c r="P957" s="40"/>
      <c r="Q957" s="45" t="e">
        <f>P957/O957</f>
        <v>#VALUE!</v>
      </c>
      <c r="R957" s="38"/>
      <c r="S957" s="39"/>
    </row>
    <row r="958" spans="1:21" s="34" customFormat="1" ht="14.5" x14ac:dyDescent="0.35">
      <c r="A958" s="34" t="s">
        <v>44</v>
      </c>
      <c r="B958" s="34" t="s">
        <v>40</v>
      </c>
      <c r="C958" s="34" t="s">
        <v>503</v>
      </c>
      <c r="D958" s="34" t="s">
        <v>503</v>
      </c>
      <c r="E958" s="34" t="s">
        <v>504</v>
      </c>
      <c r="F958" s="35">
        <v>46320</v>
      </c>
      <c r="G958" s="34" t="s">
        <v>505</v>
      </c>
      <c r="H958" s="34" t="s">
        <v>1775</v>
      </c>
      <c r="I958" s="34" t="s">
        <v>22</v>
      </c>
      <c r="J958" s="36">
        <v>2900</v>
      </c>
      <c r="K958" s="36">
        <v>8900</v>
      </c>
      <c r="L958" s="36">
        <v>4000</v>
      </c>
      <c r="M958" s="36">
        <v>2200</v>
      </c>
      <c r="N958" s="34" t="s">
        <v>506</v>
      </c>
      <c r="O958" s="36">
        <v>18000</v>
      </c>
      <c r="P958" s="36"/>
      <c r="Q958" s="45">
        <f>P958/O958</f>
        <v>0</v>
      </c>
      <c r="R958" s="36"/>
      <c r="S958" s="37"/>
    </row>
    <row r="959" spans="1:21" s="34" customFormat="1" ht="14.5" x14ac:dyDescent="0.35">
      <c r="A959" t="s">
        <v>407</v>
      </c>
      <c r="B959" t="s">
        <v>25</v>
      </c>
      <c r="C959"/>
      <c r="D959" t="s">
        <v>408</v>
      </c>
      <c r="E959" t="s">
        <v>2219</v>
      </c>
      <c r="F959" s="4">
        <v>46173</v>
      </c>
      <c r="G959" t="s">
        <v>410</v>
      </c>
      <c r="H959" t="s">
        <v>21</v>
      </c>
      <c r="I959" t="s">
        <v>22</v>
      </c>
      <c r="J959"/>
      <c r="K959"/>
      <c r="L959"/>
      <c r="M959"/>
      <c r="N959"/>
      <c r="O959" s="15"/>
      <c r="P959" s="38"/>
      <c r="Q959" s="45" t="e">
        <f>P959/O959</f>
        <v>#DIV/0!</v>
      </c>
      <c r="R959" s="15"/>
      <c r="S959" s="15"/>
      <c r="T959"/>
      <c r="U959"/>
    </row>
    <row r="960" spans="1:21" s="34" customFormat="1" ht="14.5" x14ac:dyDescent="0.35">
      <c r="A960" s="34" t="s">
        <v>44</v>
      </c>
      <c r="B960" s="34" t="s">
        <v>40</v>
      </c>
      <c r="C960" s="34" t="s">
        <v>2319</v>
      </c>
      <c r="D960" s="34" t="s">
        <v>1939</v>
      </c>
      <c r="E960" s="34" t="s">
        <v>2418</v>
      </c>
      <c r="F960" s="35">
        <v>46341</v>
      </c>
      <c r="G960" s="34" t="s">
        <v>2419</v>
      </c>
      <c r="H960" s="34" t="s">
        <v>48</v>
      </c>
      <c r="I960" t="s">
        <v>488</v>
      </c>
      <c r="J960" s="36"/>
      <c r="K960" s="36"/>
      <c r="L960" s="36"/>
      <c r="M960" s="36"/>
      <c r="O960" s="36">
        <v>2300</v>
      </c>
      <c r="P960" s="36"/>
      <c r="Q960" s="45">
        <f>P960/O960</f>
        <v>0</v>
      </c>
      <c r="R960" s="38"/>
      <c r="S960" s="39"/>
    </row>
    <row r="961" spans="1:21" s="34" customFormat="1" ht="14.5" x14ac:dyDescent="0.35">
      <c r="A961" t="s">
        <v>30</v>
      </c>
      <c r="B961" t="s">
        <v>31</v>
      </c>
      <c r="C961"/>
      <c r="D961" t="s">
        <v>1554</v>
      </c>
      <c r="E961" t="s">
        <v>1555</v>
      </c>
      <c r="F961" s="4">
        <v>46320</v>
      </c>
      <c r="G961" t="s">
        <v>113</v>
      </c>
      <c r="H961"/>
      <c r="I961" t="s">
        <v>22</v>
      </c>
      <c r="J961" t="s">
        <v>35</v>
      </c>
      <c r="K961" t="s">
        <v>35</v>
      </c>
      <c r="L961"/>
      <c r="M961" t="s">
        <v>35</v>
      </c>
      <c r="N961"/>
      <c r="O961" s="15"/>
      <c r="P961" s="38"/>
      <c r="Q961" s="45" t="e">
        <f>P961/O961</f>
        <v>#DIV/0!</v>
      </c>
      <c r="R961" s="15"/>
      <c r="S961" s="15"/>
      <c r="T961"/>
      <c r="U961" s="9" t="s">
        <v>286</v>
      </c>
    </row>
    <row r="962" spans="1:21" s="34" customFormat="1" ht="14.5" x14ac:dyDescent="0.35">
      <c r="A962" t="s">
        <v>39</v>
      </c>
      <c r="B962" t="s">
        <v>40</v>
      </c>
      <c r="C962"/>
      <c r="D962" t="s">
        <v>41</v>
      </c>
      <c r="E962" t="s">
        <v>761</v>
      </c>
      <c r="F962" s="4">
        <v>46285</v>
      </c>
      <c r="G962" t="s">
        <v>113</v>
      </c>
      <c r="H962"/>
      <c r="I962" t="s">
        <v>22</v>
      </c>
      <c r="J962"/>
      <c r="K962" t="s">
        <v>35</v>
      </c>
      <c r="L962"/>
      <c r="M962"/>
      <c r="N962"/>
      <c r="O962" s="15">
        <v>10000</v>
      </c>
      <c r="P962" s="38"/>
      <c r="Q962" s="45">
        <f>P962/O962</f>
        <v>0</v>
      </c>
      <c r="R962" s="15"/>
      <c r="S962" s="15"/>
      <c r="T962"/>
      <c r="U962" s="9" t="s">
        <v>286</v>
      </c>
    </row>
    <row r="963" spans="1:21" s="34" customFormat="1" ht="14.5" x14ac:dyDescent="0.35">
      <c r="A963" s="34" t="s">
        <v>44</v>
      </c>
      <c r="B963" s="34" t="s">
        <v>40</v>
      </c>
      <c r="C963" s="34" t="s">
        <v>503</v>
      </c>
      <c r="D963" s="34" t="s">
        <v>1923</v>
      </c>
      <c r="E963" s="41" t="s">
        <v>1924</v>
      </c>
      <c r="F963" s="35">
        <v>46201</v>
      </c>
      <c r="G963" s="34" t="s">
        <v>1925</v>
      </c>
      <c r="H963" s="34" t="s">
        <v>1775</v>
      </c>
      <c r="I963" s="34" t="s">
        <v>22</v>
      </c>
      <c r="J963" s="38" t="s">
        <v>333</v>
      </c>
      <c r="K963" s="38" t="s">
        <v>333</v>
      </c>
      <c r="L963" s="38" t="s">
        <v>333</v>
      </c>
      <c r="M963" s="38"/>
      <c r="O963" s="38">
        <v>6000</v>
      </c>
      <c r="P963" s="38"/>
      <c r="Q963" s="45">
        <f>P963/O963</f>
        <v>0</v>
      </c>
      <c r="R963" s="38"/>
      <c r="S963" s="39"/>
    </row>
    <row r="964" spans="1:21" s="34" customFormat="1" ht="14.5" x14ac:dyDescent="0.35">
      <c r="A964" t="s">
        <v>499</v>
      </c>
      <c r="B964" t="s">
        <v>201</v>
      </c>
      <c r="C964"/>
      <c r="D964" t="s">
        <v>2107</v>
      </c>
      <c r="E964" t="s">
        <v>2108</v>
      </c>
      <c r="F964"/>
      <c r="G964" t="s">
        <v>2109</v>
      </c>
      <c r="H964" t="s">
        <v>21</v>
      </c>
      <c r="I964" t="s">
        <v>22</v>
      </c>
      <c r="J964" t="s">
        <v>1381</v>
      </c>
      <c r="K964" t="s">
        <v>1381</v>
      </c>
      <c r="L964" t="s">
        <v>35</v>
      </c>
      <c r="M964"/>
      <c r="N964"/>
      <c r="O964" s="15"/>
      <c r="P964" s="38"/>
      <c r="Q964" s="45" t="e">
        <f>P964/O964</f>
        <v>#DIV/0!</v>
      </c>
      <c r="R964" s="15"/>
      <c r="S964" s="15"/>
      <c r="T964"/>
      <c r="U964" t="s">
        <v>2011</v>
      </c>
    </row>
    <row r="965" spans="1:21" s="34" customFormat="1" ht="14.5" x14ac:dyDescent="0.35">
      <c r="A965" t="s">
        <v>63</v>
      </c>
      <c r="B965" s="34" t="s">
        <v>40</v>
      </c>
      <c r="C965" t="s">
        <v>64</v>
      </c>
      <c r="D965" t="s">
        <v>64</v>
      </c>
      <c r="E965" t="s">
        <v>2356</v>
      </c>
      <c r="F965" s="13">
        <v>46327</v>
      </c>
      <c r="G965" t="s">
        <v>400</v>
      </c>
      <c r="H965" t="s">
        <v>1775</v>
      </c>
      <c r="I965"/>
      <c r="J965" s="14"/>
      <c r="K965" s="14"/>
      <c r="L965" s="14"/>
      <c r="M965" s="14"/>
      <c r="N965" t="s">
        <v>311</v>
      </c>
      <c r="O965" s="14">
        <v>8000</v>
      </c>
      <c r="P965" s="36"/>
      <c r="Q965" s="45">
        <f>P965/O965</f>
        <v>0</v>
      </c>
      <c r="R965" s="14"/>
      <c r="S965" s="37"/>
    </row>
    <row r="966" spans="1:21" s="34" customFormat="1" ht="14.5" x14ac:dyDescent="0.35">
      <c r="A966" t="s">
        <v>63</v>
      </c>
      <c r="B966" s="34" t="s">
        <v>40</v>
      </c>
      <c r="C966" t="s">
        <v>64</v>
      </c>
      <c r="D966" t="s">
        <v>64</v>
      </c>
      <c r="E966" t="s">
        <v>399</v>
      </c>
      <c r="F966" s="13">
        <v>46152</v>
      </c>
      <c r="G966" t="s">
        <v>400</v>
      </c>
      <c r="H966" t="s">
        <v>48</v>
      </c>
      <c r="I966"/>
      <c r="J966" s="14">
        <v>5500</v>
      </c>
      <c r="K966" s="14">
        <v>8400</v>
      </c>
      <c r="L966" s="14">
        <v>6000</v>
      </c>
      <c r="M966" s="14" t="s">
        <v>333</v>
      </c>
      <c r="N966"/>
      <c r="O966" s="14">
        <v>25428</v>
      </c>
      <c r="P966" s="36"/>
      <c r="Q966" s="45">
        <f>P966/O966</f>
        <v>0</v>
      </c>
      <c r="R966" s="14"/>
      <c r="S966" s="37"/>
    </row>
    <row r="967" spans="1:21" s="34" customFormat="1" ht="14.5" x14ac:dyDescent="0.35">
      <c r="A967" t="s">
        <v>63</v>
      </c>
      <c r="B967" t="s">
        <v>40</v>
      </c>
      <c r="C967"/>
      <c r="D967" t="s">
        <v>64</v>
      </c>
      <c r="E967" t="s">
        <v>1774</v>
      </c>
      <c r="F967" s="4">
        <v>46187</v>
      </c>
      <c r="G967" t="s">
        <v>400</v>
      </c>
      <c r="H967" t="s">
        <v>1775</v>
      </c>
      <c r="I967" t="s">
        <v>208</v>
      </c>
      <c r="J967"/>
      <c r="K967"/>
      <c r="L967"/>
      <c r="M967"/>
      <c r="N967"/>
      <c r="O967" s="15"/>
      <c r="P967" s="38"/>
      <c r="Q967" s="45" t="e">
        <f>P967/O967</f>
        <v>#DIV/0!</v>
      </c>
      <c r="R967" s="15"/>
      <c r="S967" s="15"/>
      <c r="T967"/>
      <c r="U967" t="s">
        <v>286</v>
      </c>
    </row>
    <row r="968" spans="1:21" s="34" customFormat="1" ht="14.5" x14ac:dyDescent="0.35">
      <c r="A968" s="34" t="s">
        <v>44</v>
      </c>
      <c r="B968" s="34" t="s">
        <v>40</v>
      </c>
      <c r="C968" s="34" t="s">
        <v>2319</v>
      </c>
      <c r="D968" s="34" t="s">
        <v>360</v>
      </c>
      <c r="E968" s="34" t="s">
        <v>2413</v>
      </c>
      <c r="F968" s="35">
        <v>46082</v>
      </c>
      <c r="G968" s="34" t="s">
        <v>165</v>
      </c>
      <c r="H968" s="34" t="s">
        <v>48</v>
      </c>
      <c r="I968" t="s">
        <v>488</v>
      </c>
      <c r="J968" s="36"/>
      <c r="K968" s="36"/>
      <c r="L968" s="36"/>
      <c r="M968" s="36"/>
      <c r="N968" s="34" t="s">
        <v>2414</v>
      </c>
      <c r="O968" s="36">
        <v>2500</v>
      </c>
      <c r="P968" s="36"/>
      <c r="Q968" s="45">
        <f>P968/O968</f>
        <v>0</v>
      </c>
      <c r="R968" s="36"/>
      <c r="S968" s="37"/>
    </row>
    <row r="969" spans="1:21" s="34" customFormat="1" ht="14.5" x14ac:dyDescent="0.35">
      <c r="A969" s="34" t="s">
        <v>44</v>
      </c>
      <c r="B969" s="34" t="s">
        <v>40</v>
      </c>
      <c r="C969" s="34" t="s">
        <v>2322</v>
      </c>
      <c r="D969" s="34" t="s">
        <v>2336</v>
      </c>
      <c r="E969" s="34" t="s">
        <v>2337</v>
      </c>
      <c r="F969" s="35">
        <v>46152</v>
      </c>
      <c r="G969" s="34" t="s">
        <v>165</v>
      </c>
      <c r="H969" s="34" t="s">
        <v>48</v>
      </c>
      <c r="I969" s="34" t="s">
        <v>22</v>
      </c>
      <c r="J969" s="36" t="s">
        <v>333</v>
      </c>
      <c r="K969" s="36" t="s">
        <v>333</v>
      </c>
      <c r="L969" s="36" t="s">
        <v>333</v>
      </c>
      <c r="M969" s="36"/>
      <c r="N969" s="34" t="s">
        <v>166</v>
      </c>
      <c r="O969" s="40" t="s">
        <v>2330</v>
      </c>
      <c r="P969" s="40"/>
      <c r="Q969" s="45" t="e">
        <f>P969/O969</f>
        <v>#VALUE!</v>
      </c>
      <c r="R969" s="36">
        <v>5000</v>
      </c>
      <c r="S969" s="37"/>
    </row>
    <row r="970" spans="1:21" s="34" customFormat="1" ht="14.5" x14ac:dyDescent="0.35">
      <c r="A970" s="34" t="s">
        <v>44</v>
      </c>
      <c r="B970" s="34" t="s">
        <v>40</v>
      </c>
      <c r="C970" s="34" t="s">
        <v>1814</v>
      </c>
      <c r="D970" s="34" t="s">
        <v>1814</v>
      </c>
      <c r="E970" s="34" t="s">
        <v>2354</v>
      </c>
      <c r="F970" s="35">
        <v>46199</v>
      </c>
      <c r="G970" s="34" t="s">
        <v>165</v>
      </c>
      <c r="H970" s="34" t="s">
        <v>48</v>
      </c>
      <c r="I970" s="34" t="s">
        <v>22</v>
      </c>
      <c r="J970" s="38"/>
      <c r="K970" s="38"/>
      <c r="L970" s="38"/>
      <c r="M970" s="38"/>
      <c r="N970" s="34" t="s">
        <v>2355</v>
      </c>
      <c r="O970" s="40" t="s">
        <v>2330</v>
      </c>
      <c r="P970" s="40"/>
      <c r="Q970" s="45" t="e">
        <f>P970/O970</f>
        <v>#VALUE!</v>
      </c>
      <c r="R970" s="38" t="s">
        <v>2330</v>
      </c>
      <c r="S970" s="39"/>
    </row>
    <row r="971" spans="1:21" s="34" customFormat="1" ht="14.5" x14ac:dyDescent="0.35">
      <c r="A971" s="34" t="s">
        <v>44</v>
      </c>
      <c r="B971" s="34" t="s">
        <v>40</v>
      </c>
      <c r="C971" s="34" t="s">
        <v>2332</v>
      </c>
      <c r="D971" s="34" t="s">
        <v>2338</v>
      </c>
      <c r="E971" s="34" t="s">
        <v>2339</v>
      </c>
      <c r="F971" s="35">
        <v>46292</v>
      </c>
      <c r="G971" s="34" t="s">
        <v>2340</v>
      </c>
      <c r="H971" s="34" t="s">
        <v>48</v>
      </c>
      <c r="I971" s="34" t="s">
        <v>22</v>
      </c>
      <c r="J971" s="36" t="s">
        <v>333</v>
      </c>
      <c r="K971" s="36" t="s">
        <v>333</v>
      </c>
      <c r="L971" s="36"/>
      <c r="M971" s="36"/>
      <c r="O971" s="40" t="s">
        <v>2330</v>
      </c>
      <c r="P971" s="40"/>
      <c r="Q971" s="45" t="e">
        <f>P971/O971</f>
        <v>#VALUE!</v>
      </c>
      <c r="R971" s="36" t="s">
        <v>2330</v>
      </c>
      <c r="S971" s="37"/>
    </row>
    <row r="972" spans="1:21" s="34" customFormat="1" ht="14.5" x14ac:dyDescent="0.35">
      <c r="A972" t="s">
        <v>507</v>
      </c>
      <c r="B972" t="s">
        <v>201</v>
      </c>
      <c r="C972"/>
      <c r="D972" t="s">
        <v>508</v>
      </c>
      <c r="E972" t="s">
        <v>2303</v>
      </c>
      <c r="F972" s="11">
        <v>46045</v>
      </c>
      <c r="G972" t="s">
        <v>2298</v>
      </c>
      <c r="H972"/>
      <c r="I972" t="s">
        <v>22</v>
      </c>
      <c r="J972"/>
      <c r="K972"/>
      <c r="L972" t="s">
        <v>35</v>
      </c>
      <c r="M972" t="s">
        <v>35</v>
      </c>
      <c r="N972"/>
      <c r="O972" s="15">
        <v>250</v>
      </c>
      <c r="P972" s="38"/>
      <c r="Q972" s="45">
        <f>P972/O972</f>
        <v>0</v>
      </c>
      <c r="R972" s="15"/>
      <c r="S972" s="15"/>
      <c r="T972"/>
      <c r="U972"/>
    </row>
    <row r="973" spans="1:21" s="34" customFormat="1" ht="14.5" x14ac:dyDescent="0.35">
      <c r="A973" t="s">
        <v>507</v>
      </c>
      <c r="B973" t="s">
        <v>201</v>
      </c>
      <c r="C973"/>
      <c r="D973" t="s">
        <v>508</v>
      </c>
      <c r="E973" t="s">
        <v>2297</v>
      </c>
      <c r="F973" s="4">
        <v>46361</v>
      </c>
      <c r="G973" t="s">
        <v>2298</v>
      </c>
      <c r="H973"/>
      <c r="I973" t="s">
        <v>22</v>
      </c>
      <c r="J973"/>
      <c r="K973"/>
      <c r="L973"/>
      <c r="M973"/>
      <c r="N973" t="s">
        <v>2299</v>
      </c>
      <c r="O973" s="15">
        <v>1500</v>
      </c>
      <c r="P973" s="38"/>
      <c r="Q973" s="45">
        <f>P973/O973</f>
        <v>0</v>
      </c>
      <c r="R973" s="15"/>
      <c r="S973" s="15"/>
      <c r="T973"/>
      <c r="U973"/>
    </row>
    <row r="974" spans="1:21" s="34" customFormat="1" ht="14.5" x14ac:dyDescent="0.35">
      <c r="A974" t="s">
        <v>507</v>
      </c>
      <c r="B974" t="s">
        <v>201</v>
      </c>
      <c r="C974"/>
      <c r="D974" t="s">
        <v>2300</v>
      </c>
      <c r="E974" t="s">
        <v>2301</v>
      </c>
      <c r="F974" s="4">
        <v>46080</v>
      </c>
      <c r="G974" t="s">
        <v>2298</v>
      </c>
      <c r="H974"/>
      <c r="I974" t="s">
        <v>22</v>
      </c>
      <c r="J974"/>
      <c r="K974"/>
      <c r="L974"/>
      <c r="M974"/>
      <c r="N974" t="s">
        <v>2302</v>
      </c>
      <c r="O974" s="15"/>
      <c r="P974" s="38"/>
      <c r="Q974" s="45" t="e">
        <f>P974/O974</f>
        <v>#DIV/0!</v>
      </c>
      <c r="R974" s="15"/>
      <c r="S974" s="15"/>
      <c r="T974"/>
      <c r="U974"/>
    </row>
    <row r="975" spans="1:21" s="34" customFormat="1" ht="14.5" x14ac:dyDescent="0.35">
      <c r="A975" t="s">
        <v>39</v>
      </c>
      <c r="B975" t="s">
        <v>40</v>
      </c>
      <c r="C975"/>
      <c r="D975" t="s">
        <v>253</v>
      </c>
      <c r="E975" t="s">
        <v>2119</v>
      </c>
      <c r="F975"/>
      <c r="G975" t="s">
        <v>255</v>
      </c>
      <c r="H975" t="s">
        <v>21</v>
      </c>
      <c r="I975" t="s">
        <v>22</v>
      </c>
      <c r="J975"/>
      <c r="K975"/>
      <c r="L975"/>
      <c r="M975"/>
      <c r="N975"/>
      <c r="O975" s="15"/>
      <c r="P975" s="38"/>
      <c r="Q975" s="45" t="e">
        <f>P975/O975</f>
        <v>#DIV/0!</v>
      </c>
      <c r="R975" s="15"/>
      <c r="S975" s="15"/>
      <c r="T975"/>
      <c r="U975"/>
    </row>
    <row r="976" spans="1:21" s="34" customFormat="1" ht="14.5" x14ac:dyDescent="0.35">
      <c r="A976" t="s">
        <v>39</v>
      </c>
      <c r="B976" t="s">
        <v>40</v>
      </c>
      <c r="C976"/>
      <c r="D976" t="s">
        <v>2122</v>
      </c>
      <c r="E976" t="s">
        <v>2123</v>
      </c>
      <c r="F976" s="4">
        <v>46159</v>
      </c>
      <c r="G976" t="s">
        <v>255</v>
      </c>
      <c r="H976" t="s">
        <v>21</v>
      </c>
      <c r="I976" t="s">
        <v>22</v>
      </c>
      <c r="J976"/>
      <c r="K976" t="s">
        <v>35</v>
      </c>
      <c r="L976"/>
      <c r="M976"/>
      <c r="N976"/>
      <c r="O976" s="15"/>
      <c r="P976" s="38"/>
      <c r="Q976" s="45" t="e">
        <f>P976/O976</f>
        <v>#DIV/0!</v>
      </c>
      <c r="R976" s="15"/>
      <c r="S976" s="15"/>
      <c r="T976"/>
      <c r="U976"/>
    </row>
    <row r="977" spans="1:21" s="34" customFormat="1" ht="14.5" x14ac:dyDescent="0.35">
      <c r="A977" t="s">
        <v>39</v>
      </c>
      <c r="B977" t="s">
        <v>40</v>
      </c>
      <c r="C977"/>
      <c r="D977" t="s">
        <v>253</v>
      </c>
      <c r="E977" t="s">
        <v>2124</v>
      </c>
      <c r="F977"/>
      <c r="G977" t="s">
        <v>255</v>
      </c>
      <c r="H977" t="s">
        <v>21</v>
      </c>
      <c r="I977" t="s">
        <v>22</v>
      </c>
      <c r="J977"/>
      <c r="K977"/>
      <c r="L977"/>
      <c r="M977"/>
      <c r="N977"/>
      <c r="O977" s="15"/>
      <c r="P977" s="38"/>
      <c r="Q977" s="45" t="e">
        <f>P977/O977</f>
        <v>#DIV/0!</v>
      </c>
      <c r="R977" s="15"/>
      <c r="S977" s="15"/>
      <c r="T977"/>
      <c r="U977"/>
    </row>
    <row r="978" spans="1:21" ht="14.5" x14ac:dyDescent="0.35">
      <c r="A978" t="s">
        <v>2284</v>
      </c>
      <c r="B978" t="s">
        <v>201</v>
      </c>
      <c r="D978" t="s">
        <v>2285</v>
      </c>
      <c r="E978" t="s">
        <v>2286</v>
      </c>
      <c r="F978" s="4">
        <v>46045</v>
      </c>
      <c r="G978" t="s">
        <v>2287</v>
      </c>
      <c r="I978" t="s">
        <v>1141</v>
      </c>
      <c r="L978" t="s">
        <v>35</v>
      </c>
      <c r="N978" t="s">
        <v>2288</v>
      </c>
      <c r="O978" s="30"/>
      <c r="P978" s="40"/>
      <c r="Q978" s="45" t="e">
        <f>P978/O978</f>
        <v>#DIV/0!</v>
      </c>
      <c r="R978" s="30"/>
      <c r="S978" s="30"/>
    </row>
    <row r="979" spans="1:21" s="34" customFormat="1" ht="14.5" x14ac:dyDescent="0.35">
      <c r="A979" s="34" t="s">
        <v>44</v>
      </c>
      <c r="B979" s="34" t="s">
        <v>40</v>
      </c>
      <c r="C979" s="34" t="s">
        <v>2318</v>
      </c>
      <c r="D979" s="34" t="s">
        <v>45</v>
      </c>
      <c r="E979" s="34" t="s">
        <v>1947</v>
      </c>
      <c r="F979" s="35">
        <v>46340</v>
      </c>
      <c r="G979" s="34" t="s">
        <v>1948</v>
      </c>
      <c r="H979" s="34" t="s">
        <v>1775</v>
      </c>
      <c r="I979" s="34" t="s">
        <v>22</v>
      </c>
      <c r="J979" s="36"/>
      <c r="K979" s="36"/>
      <c r="L979" s="36" t="s">
        <v>333</v>
      </c>
      <c r="M979" s="36" t="s">
        <v>333</v>
      </c>
      <c r="O979" s="36">
        <v>5000</v>
      </c>
      <c r="P979" s="36"/>
      <c r="Q979" s="45">
        <f>P979/O979</f>
        <v>0</v>
      </c>
      <c r="R979" s="38"/>
      <c r="S979" s="39"/>
    </row>
    <row r="980" spans="1:21" s="34" customFormat="1" ht="14.5" x14ac:dyDescent="0.35">
      <c r="A980" s="34" t="s">
        <v>44</v>
      </c>
      <c r="B980" s="34" t="s">
        <v>40</v>
      </c>
      <c r="C980" s="34" t="s">
        <v>115</v>
      </c>
      <c r="D980" s="34" t="s">
        <v>115</v>
      </c>
      <c r="E980" s="34" t="s">
        <v>1947</v>
      </c>
      <c r="F980" s="35">
        <v>46348</v>
      </c>
      <c r="G980" s="34" t="s">
        <v>1948</v>
      </c>
      <c r="H980" s="34" t="s">
        <v>1775</v>
      </c>
      <c r="I980" s="34" t="s">
        <v>22</v>
      </c>
      <c r="J980" s="36"/>
      <c r="K980" s="36"/>
      <c r="L980" s="36" t="s">
        <v>333</v>
      </c>
      <c r="M980" s="36" t="s">
        <v>333</v>
      </c>
      <c r="O980" s="36">
        <v>5000</v>
      </c>
      <c r="P980" s="36"/>
      <c r="Q980" s="45">
        <f>P980/O980</f>
        <v>0</v>
      </c>
      <c r="R980" s="38"/>
      <c r="S980" s="39"/>
    </row>
    <row r="981" spans="1:21" s="34" customFormat="1" ht="14.5" x14ac:dyDescent="0.35">
      <c r="A981" s="34" t="s">
        <v>44</v>
      </c>
      <c r="B981" s="34" t="s">
        <v>40</v>
      </c>
      <c r="C981" s="34" t="s">
        <v>163</v>
      </c>
      <c r="D981" s="34" t="s">
        <v>163</v>
      </c>
      <c r="E981" s="34" t="s">
        <v>1947</v>
      </c>
      <c r="F981" s="35">
        <v>46348</v>
      </c>
      <c r="G981" s="34" t="s">
        <v>1948</v>
      </c>
      <c r="H981" s="34" t="s">
        <v>1775</v>
      </c>
      <c r="I981" s="34" t="s">
        <v>22</v>
      </c>
      <c r="J981" s="36"/>
      <c r="K981" s="36"/>
      <c r="L981" s="36"/>
      <c r="M981" s="36" t="s">
        <v>333</v>
      </c>
      <c r="N981" s="34" t="s">
        <v>1950</v>
      </c>
      <c r="O981" s="36">
        <v>5000</v>
      </c>
      <c r="P981" s="36"/>
      <c r="Q981" s="45">
        <f>P981/O981</f>
        <v>0</v>
      </c>
      <c r="R981" s="38"/>
      <c r="S981" s="39"/>
    </row>
    <row r="982" spans="1:21" ht="14.5" x14ac:dyDescent="0.35">
      <c r="A982" t="s">
        <v>118</v>
      </c>
      <c r="B982" t="s">
        <v>25</v>
      </c>
      <c r="D982" t="s">
        <v>119</v>
      </c>
      <c r="E982" t="s">
        <v>2079</v>
      </c>
      <c r="F982" s="4">
        <v>46327</v>
      </c>
      <c r="G982" t="s">
        <v>2080</v>
      </c>
      <c r="I982" t="s">
        <v>22</v>
      </c>
      <c r="J982" t="s">
        <v>35</v>
      </c>
      <c r="Q982" s="45" t="e">
        <f>P982/O982</f>
        <v>#DIV/0!</v>
      </c>
    </row>
    <row r="983" spans="1:21" s="34" customFormat="1" ht="14.5" x14ac:dyDescent="0.35">
      <c r="A983" t="s">
        <v>16</v>
      </c>
      <c r="B983" t="s">
        <v>17</v>
      </c>
      <c r="C983"/>
      <c r="D983" t="s">
        <v>18</v>
      </c>
      <c r="E983" t="s">
        <v>1770</v>
      </c>
      <c r="F983" s="4">
        <v>46208</v>
      </c>
      <c r="G983" t="s">
        <v>510</v>
      </c>
      <c r="H983"/>
      <c r="I983" t="s">
        <v>22</v>
      </c>
      <c r="J983"/>
      <c r="K983"/>
      <c r="L983" t="s">
        <v>35</v>
      </c>
      <c r="M983" t="s">
        <v>35</v>
      </c>
      <c r="N983" t="s">
        <v>35</v>
      </c>
      <c r="O983" s="15"/>
      <c r="P983" s="38"/>
      <c r="Q983" s="45" t="e">
        <f>P983/O983</f>
        <v>#DIV/0!</v>
      </c>
      <c r="R983" s="15"/>
      <c r="S983" s="15"/>
      <c r="T983"/>
      <c r="U983" t="s">
        <v>286</v>
      </c>
    </row>
    <row r="984" spans="1:21" s="34" customFormat="1" ht="14.5" x14ac:dyDescent="0.35">
      <c r="A984" s="34" t="s">
        <v>44</v>
      </c>
      <c r="B984" s="34" t="s">
        <v>40</v>
      </c>
      <c r="C984" s="34" t="s">
        <v>2324</v>
      </c>
      <c r="D984" s="34" t="s">
        <v>2364</v>
      </c>
      <c r="E984" s="34" t="s">
        <v>2365</v>
      </c>
      <c r="F984" s="35">
        <v>46110</v>
      </c>
      <c r="G984" s="34" t="s">
        <v>380</v>
      </c>
      <c r="H984" s="34" t="s">
        <v>48</v>
      </c>
      <c r="I984" s="34" t="s">
        <v>22</v>
      </c>
      <c r="J984" s="36"/>
      <c r="K984" s="36" t="s">
        <v>333</v>
      </c>
      <c r="L984" s="36"/>
      <c r="M984" s="36"/>
      <c r="O984" s="36">
        <v>4500</v>
      </c>
      <c r="P984" s="36"/>
      <c r="Q984" s="45">
        <f>P984/O984</f>
        <v>0</v>
      </c>
      <c r="R984" s="38"/>
      <c r="S984" s="39"/>
    </row>
    <row r="985" spans="1:21" s="34" customFormat="1" ht="14.5" x14ac:dyDescent="0.35">
      <c r="A985" t="s">
        <v>66</v>
      </c>
      <c r="B985" t="s">
        <v>40</v>
      </c>
      <c r="C985"/>
      <c r="D985" t="s">
        <v>1972</v>
      </c>
      <c r="E985" t="s">
        <v>1973</v>
      </c>
      <c r="F985"/>
      <c r="G985" t="s">
        <v>1974</v>
      </c>
      <c r="H985"/>
      <c r="I985" t="s">
        <v>22</v>
      </c>
      <c r="J985" t="s">
        <v>35</v>
      </c>
      <c r="K985" t="s">
        <v>35</v>
      </c>
      <c r="L985" t="s">
        <v>35</v>
      </c>
      <c r="M985" t="s">
        <v>35</v>
      </c>
      <c r="N985"/>
      <c r="O985" s="15">
        <f>95+118+32+24+13</f>
        <v>282</v>
      </c>
      <c r="P985" s="38"/>
      <c r="Q985" s="45">
        <f>P985/O985</f>
        <v>0</v>
      </c>
      <c r="R985" s="15"/>
      <c r="S985" s="15"/>
      <c r="T985"/>
      <c r="U985"/>
    </row>
    <row r="986" spans="1:21" s="34" customFormat="1" ht="14.5" x14ac:dyDescent="0.35">
      <c r="A986" s="34" t="s">
        <v>44</v>
      </c>
      <c r="B986" s="34" t="s">
        <v>40</v>
      </c>
      <c r="C986" s="34" t="s">
        <v>2324</v>
      </c>
      <c r="D986" s="34" t="s">
        <v>2381</v>
      </c>
      <c r="E986" s="34" t="s">
        <v>2382</v>
      </c>
      <c r="F986" s="35">
        <v>46110</v>
      </c>
      <c r="G986" s="34" t="s">
        <v>2383</v>
      </c>
      <c r="H986" s="34" t="s">
        <v>1775</v>
      </c>
      <c r="I986" s="34" t="s">
        <v>22</v>
      </c>
      <c r="J986" s="38" t="s">
        <v>333</v>
      </c>
      <c r="K986" s="38" t="s">
        <v>333</v>
      </c>
      <c r="L986" s="38" t="s">
        <v>333</v>
      </c>
      <c r="M986" s="38" t="s">
        <v>333</v>
      </c>
      <c r="N986" s="38" t="s">
        <v>2384</v>
      </c>
      <c r="O986" s="38">
        <v>3700</v>
      </c>
      <c r="P986" s="38"/>
      <c r="Q986" s="45">
        <f>P986/O986</f>
        <v>0</v>
      </c>
      <c r="R986" s="38">
        <v>6000</v>
      </c>
      <c r="S986" s="39"/>
    </row>
    <row r="987" spans="1:21" s="34" customFormat="1" ht="14.5" x14ac:dyDescent="0.35">
      <c r="A987" s="34" t="s">
        <v>44</v>
      </c>
      <c r="B987" s="34" t="s">
        <v>40</v>
      </c>
      <c r="C987" s="34" t="s">
        <v>2331</v>
      </c>
      <c r="D987" s="34" t="s">
        <v>1861</v>
      </c>
      <c r="E987" s="34" t="s">
        <v>2401</v>
      </c>
      <c r="F987" s="35">
        <v>46110</v>
      </c>
      <c r="G987" s="34" t="s">
        <v>2402</v>
      </c>
      <c r="H987" s="34" t="s">
        <v>48</v>
      </c>
      <c r="I987" s="34" t="s">
        <v>22</v>
      </c>
      <c r="J987" s="38"/>
      <c r="K987" s="38"/>
      <c r="L987" s="38"/>
      <c r="M987" s="38"/>
      <c r="N987" s="34" t="s">
        <v>2403</v>
      </c>
      <c r="O987" s="36">
        <v>3000</v>
      </c>
      <c r="P987" s="36"/>
      <c r="Q987" s="45">
        <f>P987/O987</f>
        <v>0</v>
      </c>
      <c r="R987" s="38"/>
      <c r="S987" s="39"/>
    </row>
    <row r="988" spans="1:21" s="34" customFormat="1" ht="14.5" x14ac:dyDescent="0.35">
      <c r="A988" t="s">
        <v>459</v>
      </c>
      <c r="B988" t="s">
        <v>25</v>
      </c>
      <c r="C988"/>
      <c r="D988" t="s">
        <v>818</v>
      </c>
      <c r="E988" t="s">
        <v>2164</v>
      </c>
      <c r="F988" s="4">
        <v>46355</v>
      </c>
      <c r="G988" t="s">
        <v>2165</v>
      </c>
      <c r="H988"/>
      <c r="I988"/>
      <c r="J988">
        <v>1020</v>
      </c>
      <c r="K988" t="s">
        <v>35</v>
      </c>
      <c r="L988" t="s">
        <v>35</v>
      </c>
      <c r="M988"/>
      <c r="N988" t="s">
        <v>2166</v>
      </c>
      <c r="O988" s="15"/>
      <c r="P988" s="38"/>
      <c r="Q988" s="45" t="e">
        <f>P988/O988</f>
        <v>#DIV/0!</v>
      </c>
      <c r="R988" s="15"/>
      <c r="S988" s="15"/>
      <c r="T988"/>
      <c r="U988"/>
    </row>
    <row r="989" spans="1:21" s="34" customFormat="1" ht="14.5" x14ac:dyDescent="0.35">
      <c r="A989" t="s">
        <v>30</v>
      </c>
      <c r="B989" t="s">
        <v>31</v>
      </c>
      <c r="C989"/>
      <c r="D989" t="s">
        <v>170</v>
      </c>
      <c r="E989" t="s">
        <v>2009</v>
      </c>
      <c r="F989" s="4">
        <v>46123</v>
      </c>
      <c r="G989" t="s">
        <v>2010</v>
      </c>
      <c r="H989"/>
      <c r="I989" t="s">
        <v>22</v>
      </c>
      <c r="J989" t="s">
        <v>35</v>
      </c>
      <c r="K989" t="s">
        <v>35</v>
      </c>
      <c r="L989"/>
      <c r="M989" t="s">
        <v>35</v>
      </c>
      <c r="N989"/>
      <c r="O989" s="15"/>
      <c r="P989" s="38"/>
      <c r="Q989" s="45" t="e">
        <f>P989/O989</f>
        <v>#DIV/0!</v>
      </c>
      <c r="R989" s="15"/>
      <c r="S989" s="15"/>
      <c r="T989"/>
      <c r="U989"/>
    </row>
    <row r="990" spans="1:21" s="34" customFormat="1" ht="14.5" x14ac:dyDescent="0.35">
      <c r="A990" t="s">
        <v>131</v>
      </c>
      <c r="B990" t="s">
        <v>25</v>
      </c>
      <c r="C990"/>
      <c r="D990" t="s">
        <v>2074</v>
      </c>
      <c r="E990" t="s">
        <v>2075</v>
      </c>
      <c r="F990" s="4">
        <v>46159</v>
      </c>
      <c r="G990" t="s">
        <v>3</v>
      </c>
      <c r="H990"/>
      <c r="I990" t="s">
        <v>22</v>
      </c>
      <c r="J990"/>
      <c r="K990" t="s">
        <v>35</v>
      </c>
      <c r="L990" t="s">
        <v>35</v>
      </c>
      <c r="M990"/>
      <c r="N990"/>
      <c r="O990" s="15">
        <v>5000</v>
      </c>
      <c r="P990" s="38"/>
      <c r="Q990" s="45">
        <f>P990/O990</f>
        <v>0</v>
      </c>
      <c r="R990" s="15"/>
      <c r="S990" s="15"/>
      <c r="T990"/>
      <c r="U990"/>
    </row>
    <row r="991" spans="1:21" s="34" customFormat="1" ht="14.5" x14ac:dyDescent="0.35">
      <c r="A991" s="34" t="s">
        <v>44</v>
      </c>
      <c r="B991" s="34" t="s">
        <v>40</v>
      </c>
      <c r="C991" s="34" t="s">
        <v>503</v>
      </c>
      <c r="D991" s="34" t="s">
        <v>2428</v>
      </c>
      <c r="E991" s="34" t="s">
        <v>2429</v>
      </c>
      <c r="F991" s="35">
        <v>46285</v>
      </c>
      <c r="G991" s="34" t="s">
        <v>3</v>
      </c>
      <c r="H991" s="34" t="s">
        <v>1775</v>
      </c>
      <c r="I991" s="34" t="s">
        <v>22</v>
      </c>
      <c r="J991" s="36"/>
      <c r="K991" s="36" t="s">
        <v>333</v>
      </c>
      <c r="L991" s="36"/>
      <c r="M991" s="36"/>
      <c r="N991" s="34" t="s">
        <v>2430</v>
      </c>
      <c r="O991" s="36">
        <v>2000</v>
      </c>
      <c r="P991" s="36"/>
      <c r="Q991" s="45">
        <f>P991/O991</f>
        <v>0</v>
      </c>
      <c r="R991" s="38"/>
      <c r="S991" s="39"/>
    </row>
    <row r="992" spans="1:21" s="34" customFormat="1" ht="14.5" x14ac:dyDescent="0.35">
      <c r="A992" s="34" t="s">
        <v>44</v>
      </c>
      <c r="B992" s="34" t="s">
        <v>40</v>
      </c>
      <c r="C992" s="34" t="s">
        <v>503</v>
      </c>
      <c r="D992" s="34" t="s">
        <v>2349</v>
      </c>
      <c r="E992" s="34" t="s">
        <v>2404</v>
      </c>
      <c r="F992" s="35">
        <v>46306</v>
      </c>
      <c r="G992" s="34" t="s">
        <v>3</v>
      </c>
      <c r="H992" s="34" t="s">
        <v>1775</v>
      </c>
      <c r="I992" s="34" t="s">
        <v>22</v>
      </c>
      <c r="J992" s="36"/>
      <c r="K992" s="36"/>
      <c r="L992" s="36"/>
      <c r="M992" s="36"/>
      <c r="O992" s="36">
        <v>2900</v>
      </c>
      <c r="P992" s="36"/>
      <c r="Q992" s="45">
        <f>P992/O992</f>
        <v>0</v>
      </c>
      <c r="R992" s="38"/>
      <c r="S992" s="39"/>
    </row>
    <row r="993" spans="1:21" s="34" customFormat="1" ht="14.5" x14ac:dyDescent="0.35">
      <c r="A993" s="34" t="s">
        <v>44</v>
      </c>
      <c r="B993" s="34" t="s">
        <v>40</v>
      </c>
      <c r="C993" s="34" t="s">
        <v>2322</v>
      </c>
      <c r="D993" s="34" t="s">
        <v>2375</v>
      </c>
      <c r="E993" s="34" t="s">
        <v>2376</v>
      </c>
      <c r="F993" s="35">
        <v>46152</v>
      </c>
      <c r="G993" s="34" t="s">
        <v>3</v>
      </c>
      <c r="H993" s="34" t="s">
        <v>1775</v>
      </c>
      <c r="I993" s="34" t="s">
        <v>22</v>
      </c>
      <c r="J993" s="38"/>
      <c r="K993" s="38">
        <v>2870</v>
      </c>
      <c r="L993" s="38">
        <v>971</v>
      </c>
      <c r="M993" s="38"/>
      <c r="N993" s="38" t="s">
        <v>2377</v>
      </c>
      <c r="O993" s="38">
        <v>4000</v>
      </c>
      <c r="P993" s="38"/>
      <c r="Q993" s="45">
        <f>P993/O993</f>
        <v>0</v>
      </c>
      <c r="R993" s="38"/>
      <c r="S993" s="39"/>
      <c r="T993"/>
      <c r="U993"/>
    </row>
    <row r="994" spans="1:21" s="34" customFormat="1" ht="14.5" x14ac:dyDescent="0.35">
      <c r="A994" s="34" t="s">
        <v>44</v>
      </c>
      <c r="B994" s="34" t="s">
        <v>40</v>
      </c>
      <c r="C994" s="34" t="s">
        <v>115</v>
      </c>
      <c r="D994" s="34" t="s">
        <v>2360</v>
      </c>
      <c r="E994" s="34" t="s">
        <v>2361</v>
      </c>
      <c r="F994" s="35">
        <v>46117</v>
      </c>
      <c r="G994" s="34" t="s">
        <v>3</v>
      </c>
      <c r="H994" s="34" t="s">
        <v>1775</v>
      </c>
      <c r="I994" s="34" t="s">
        <v>22</v>
      </c>
      <c r="J994" s="38"/>
      <c r="K994" s="38" t="s">
        <v>333</v>
      </c>
      <c r="L994" s="38" t="s">
        <v>333</v>
      </c>
      <c r="M994" s="38" t="s">
        <v>333</v>
      </c>
      <c r="O994" s="38">
        <v>4800</v>
      </c>
      <c r="P994" s="38"/>
      <c r="Q994" s="45">
        <f>P994/O994</f>
        <v>0</v>
      </c>
      <c r="R994" s="38"/>
      <c r="S994" s="39"/>
    </row>
    <row r="995" spans="1:21" s="34" customFormat="1" ht="14.5" x14ac:dyDescent="0.35">
      <c r="A995" t="s">
        <v>421</v>
      </c>
      <c r="B995" t="s">
        <v>201</v>
      </c>
      <c r="C995"/>
      <c r="D995" t="s">
        <v>720</v>
      </c>
      <c r="E995" t="s">
        <v>1968</v>
      </c>
      <c r="F995" s="4">
        <v>46117</v>
      </c>
      <c r="G995" t="s">
        <v>3</v>
      </c>
      <c r="H995"/>
      <c r="I995" t="s">
        <v>1969</v>
      </c>
      <c r="J995"/>
      <c r="K995"/>
      <c r="L995"/>
      <c r="M995"/>
      <c r="N995"/>
      <c r="O995" s="15">
        <v>500000</v>
      </c>
      <c r="P995" s="38"/>
      <c r="Q995" s="45">
        <f>P995/O995</f>
        <v>0</v>
      </c>
      <c r="R995" s="15"/>
      <c r="S995" s="15"/>
      <c r="T995"/>
      <c r="U995"/>
    </row>
    <row r="996" spans="1:21" s="34" customFormat="1" ht="14.5" x14ac:dyDescent="0.35">
      <c r="A996" t="s">
        <v>205</v>
      </c>
      <c r="B996" t="s">
        <v>81</v>
      </c>
      <c r="C996"/>
      <c r="D996" t="s">
        <v>2200</v>
      </c>
      <c r="E996" t="s">
        <v>2201</v>
      </c>
      <c r="F996"/>
      <c r="G996"/>
      <c r="H996"/>
      <c r="I996"/>
      <c r="J996"/>
      <c r="K996" t="s">
        <v>35</v>
      </c>
      <c r="L996" t="s">
        <v>35</v>
      </c>
      <c r="M996" t="s">
        <v>35</v>
      </c>
      <c r="N996"/>
      <c r="O996" s="15"/>
      <c r="P996" s="38"/>
      <c r="Q996" s="45" t="e">
        <f>P996/O996</f>
        <v>#DIV/0!</v>
      </c>
      <c r="R996" s="15"/>
      <c r="S996" s="15"/>
      <c r="T996"/>
      <c r="U996"/>
    </row>
    <row r="997" spans="1:21" s="34" customFormat="1" ht="14.5" x14ac:dyDescent="0.35">
      <c r="A997" t="s">
        <v>110</v>
      </c>
      <c r="B997" t="s">
        <v>31</v>
      </c>
      <c r="C997"/>
      <c r="D997" t="s">
        <v>2130</v>
      </c>
      <c r="E997" t="s">
        <v>2136</v>
      </c>
      <c r="F997"/>
      <c r="G997"/>
      <c r="H997"/>
      <c r="I997" t="s">
        <v>22</v>
      </c>
      <c r="J997"/>
      <c r="K997"/>
      <c r="L997" t="s">
        <v>35</v>
      </c>
      <c r="M997" t="s">
        <v>35</v>
      </c>
      <c r="N997"/>
      <c r="O997" s="15">
        <v>1400</v>
      </c>
      <c r="P997" s="38"/>
      <c r="Q997" s="45">
        <f>P997/O997</f>
        <v>0</v>
      </c>
      <c r="R997" s="15"/>
      <c r="S997" s="15"/>
      <c r="T997"/>
      <c r="U997"/>
    </row>
    <row r="998" spans="1:21" s="34" customFormat="1" ht="14.5" x14ac:dyDescent="0.35">
      <c r="A998" t="s">
        <v>110</v>
      </c>
      <c r="B998" t="s">
        <v>31</v>
      </c>
      <c r="C998"/>
      <c r="D998" t="s">
        <v>2137</v>
      </c>
      <c r="E998" t="s">
        <v>2139</v>
      </c>
      <c r="F998" s="4">
        <v>46292</v>
      </c>
      <c r="G998"/>
      <c r="H998"/>
      <c r="I998" t="s">
        <v>22</v>
      </c>
      <c r="J998"/>
      <c r="K998"/>
      <c r="L998"/>
      <c r="M998"/>
      <c r="N998"/>
      <c r="O998" s="15">
        <v>3300</v>
      </c>
      <c r="P998" s="38"/>
      <c r="Q998" s="45">
        <f>P998/O998</f>
        <v>0</v>
      </c>
      <c r="R998" s="15"/>
      <c r="S998" s="15"/>
      <c r="T998"/>
      <c r="U998"/>
    </row>
    <row r="999" spans="1:21" s="34" customFormat="1" ht="14.5" x14ac:dyDescent="0.35">
      <c r="A999" t="s">
        <v>865</v>
      </c>
      <c r="B999" t="s">
        <v>25</v>
      </c>
      <c r="C999"/>
      <c r="D999" t="s">
        <v>866</v>
      </c>
      <c r="E999" t="s">
        <v>2191</v>
      </c>
      <c r="F999" s="4">
        <v>46376</v>
      </c>
      <c r="G999"/>
      <c r="H999"/>
      <c r="I999"/>
      <c r="J999"/>
      <c r="K999" t="s">
        <v>35</v>
      </c>
      <c r="L999" t="s">
        <v>35</v>
      </c>
      <c r="M999" t="s">
        <v>35</v>
      </c>
      <c r="N999"/>
      <c r="O999" s="15">
        <v>1400</v>
      </c>
      <c r="P999" s="38"/>
      <c r="Q999" s="45">
        <f>P999/O999</f>
        <v>0</v>
      </c>
      <c r="R999" s="15"/>
      <c r="S999" s="15"/>
      <c r="T999"/>
      <c r="U999"/>
    </row>
    <row r="1000" spans="1:21" s="34" customFormat="1" ht="14.5" x14ac:dyDescent="0.35">
      <c r="A1000" t="s">
        <v>196</v>
      </c>
      <c r="B1000" t="s">
        <v>25</v>
      </c>
      <c r="C1000"/>
      <c r="D1000" t="s">
        <v>291</v>
      </c>
      <c r="E1000" t="s">
        <v>2175</v>
      </c>
      <c r="F1000" s="4">
        <v>46103</v>
      </c>
      <c r="G1000"/>
      <c r="H1000"/>
      <c r="I1000" t="s">
        <v>22</v>
      </c>
      <c r="J1000"/>
      <c r="K1000" t="s">
        <v>35</v>
      </c>
      <c r="L1000"/>
      <c r="M1000"/>
      <c r="N1000"/>
      <c r="O1000" s="15">
        <v>4900</v>
      </c>
      <c r="P1000" s="38"/>
      <c r="Q1000" s="45">
        <f>P1000/O1000</f>
        <v>0</v>
      </c>
      <c r="R1000" s="15"/>
      <c r="S1000" s="15"/>
      <c r="T1000"/>
      <c r="U1000"/>
    </row>
    <row r="1001" spans="1:21" s="34" customFormat="1" ht="14.5" x14ac:dyDescent="0.35">
      <c r="A1001" t="s">
        <v>131</v>
      </c>
      <c r="B1001" t="s">
        <v>25</v>
      </c>
      <c r="C1001"/>
      <c r="D1001" t="s">
        <v>805</v>
      </c>
      <c r="E1001" t="s">
        <v>806</v>
      </c>
      <c r="F1001" s="4">
        <v>46131</v>
      </c>
      <c r="G1001"/>
      <c r="H1001"/>
      <c r="I1001" t="s">
        <v>22</v>
      </c>
      <c r="J1001" t="s">
        <v>35</v>
      </c>
      <c r="K1001"/>
      <c r="L1001"/>
      <c r="M1001"/>
      <c r="N1001"/>
      <c r="O1001" s="15"/>
      <c r="P1001" s="38"/>
      <c r="Q1001" s="45" t="e">
        <f>P1001/O1001</f>
        <v>#DIV/0!</v>
      </c>
      <c r="R1001" s="15"/>
      <c r="S1001" s="15"/>
      <c r="T1001"/>
      <c r="U1001"/>
    </row>
    <row r="1002" spans="1:21" s="34" customFormat="1" ht="14.5" x14ac:dyDescent="0.35">
      <c r="A1002" t="s">
        <v>131</v>
      </c>
      <c r="B1002" t="s">
        <v>25</v>
      </c>
      <c r="C1002"/>
      <c r="D1002" t="s">
        <v>2072</v>
      </c>
      <c r="E1002" t="s">
        <v>2073</v>
      </c>
      <c r="F1002" s="4">
        <v>46138</v>
      </c>
      <c r="G1002"/>
      <c r="H1002"/>
      <c r="I1002" t="s">
        <v>22</v>
      </c>
      <c r="J1002"/>
      <c r="K1002" t="s">
        <v>35</v>
      </c>
      <c r="L1002"/>
      <c r="M1002"/>
      <c r="N1002"/>
      <c r="O1002" s="15"/>
      <c r="P1002" s="38"/>
      <c r="Q1002" s="45" t="e">
        <f>P1002/O1002</f>
        <v>#DIV/0!</v>
      </c>
      <c r="R1002" s="15"/>
      <c r="S1002" s="15"/>
      <c r="T1002"/>
      <c r="U1002"/>
    </row>
    <row r="1003" spans="1:21" s="34" customFormat="1" ht="14.5" x14ac:dyDescent="0.35">
      <c r="A1003" t="s">
        <v>459</v>
      </c>
      <c r="B1003" t="s">
        <v>25</v>
      </c>
      <c r="C1003"/>
      <c r="D1003" t="s">
        <v>818</v>
      </c>
      <c r="E1003" t="s">
        <v>2154</v>
      </c>
      <c r="F1003" s="4">
        <v>46159</v>
      </c>
      <c r="G1003"/>
      <c r="H1003"/>
      <c r="I1003" t="s">
        <v>270</v>
      </c>
      <c r="J1003"/>
      <c r="K1003" t="s">
        <v>35</v>
      </c>
      <c r="L1003" t="s">
        <v>35</v>
      </c>
      <c r="M1003"/>
      <c r="N1003"/>
      <c r="O1003" s="15"/>
      <c r="P1003" s="38"/>
      <c r="Q1003" s="45" t="e">
        <f>P1003/O1003</f>
        <v>#DIV/0!</v>
      </c>
      <c r="R1003" s="15"/>
      <c r="S1003" s="15"/>
      <c r="T1003"/>
      <c r="U1003"/>
    </row>
    <row r="1004" spans="1:21" s="34" customFormat="1" ht="14.5" x14ac:dyDescent="0.35">
      <c r="A1004" t="s">
        <v>2155</v>
      </c>
      <c r="B1004" t="s">
        <v>25</v>
      </c>
      <c r="C1004"/>
      <c r="D1004" t="s">
        <v>2156</v>
      </c>
      <c r="E1004" t="s">
        <v>2157</v>
      </c>
      <c r="F1004" s="4">
        <v>46159</v>
      </c>
      <c r="G1004"/>
      <c r="H1004"/>
      <c r="I1004" t="s">
        <v>22</v>
      </c>
      <c r="J1004"/>
      <c r="K1004"/>
      <c r="L1004" t="s">
        <v>35</v>
      </c>
      <c r="M1004"/>
      <c r="N1004"/>
      <c r="O1004" s="15"/>
      <c r="P1004" s="38"/>
      <c r="Q1004" s="45" t="e">
        <f>P1004/O1004</f>
        <v>#DIV/0!</v>
      </c>
      <c r="R1004" s="15"/>
      <c r="S1004" s="15"/>
      <c r="T1004"/>
      <c r="U1004"/>
    </row>
    <row r="1005" spans="1:21" s="34" customFormat="1" ht="14.5" x14ac:dyDescent="0.35">
      <c r="A1005" t="s">
        <v>459</v>
      </c>
      <c r="B1005" t="s">
        <v>25</v>
      </c>
      <c r="C1005"/>
      <c r="D1005" t="s">
        <v>818</v>
      </c>
      <c r="E1005" t="s">
        <v>2167</v>
      </c>
      <c r="F1005"/>
      <c r="G1005"/>
      <c r="H1005"/>
      <c r="I1005"/>
      <c r="J1005"/>
      <c r="K1005" t="s">
        <v>35</v>
      </c>
      <c r="L1005" t="s">
        <v>35</v>
      </c>
      <c r="M1005" t="s">
        <v>35</v>
      </c>
      <c r="N1005"/>
      <c r="O1005" s="15"/>
      <c r="P1005" s="38"/>
      <c r="Q1005" s="45" t="e">
        <f>P1005/O1005</f>
        <v>#DIV/0!</v>
      </c>
      <c r="R1005" s="15"/>
      <c r="S1005" s="15"/>
      <c r="T1005"/>
      <c r="U1005" t="s">
        <v>2168</v>
      </c>
    </row>
    <row r="1006" spans="1:21" s="34" customFormat="1" ht="14.5" x14ac:dyDescent="0.35">
      <c r="A1006" t="s">
        <v>196</v>
      </c>
      <c r="B1006" t="s">
        <v>25</v>
      </c>
      <c r="C1006"/>
      <c r="D1006" t="s">
        <v>291</v>
      </c>
      <c r="E1006" t="s">
        <v>2176</v>
      </c>
      <c r="F1006" s="4">
        <v>46137</v>
      </c>
      <c r="G1006"/>
      <c r="H1006"/>
      <c r="I1006" t="s">
        <v>22</v>
      </c>
      <c r="J1006"/>
      <c r="K1006"/>
      <c r="L1006" t="s">
        <v>35</v>
      </c>
      <c r="M1006"/>
      <c r="N1006"/>
      <c r="O1006" s="15"/>
      <c r="P1006" s="38"/>
      <c r="Q1006" s="45" t="e">
        <f>P1006/O1006</f>
        <v>#DIV/0!</v>
      </c>
      <c r="R1006" s="15"/>
      <c r="S1006" s="15"/>
      <c r="T1006"/>
      <c r="U1006"/>
    </row>
    <row r="1007" spans="1:21" s="34" customFormat="1" ht="14.5" x14ac:dyDescent="0.35">
      <c r="A1007" t="s">
        <v>196</v>
      </c>
      <c r="B1007" t="s">
        <v>25</v>
      </c>
      <c r="C1007"/>
      <c r="D1007" t="s">
        <v>2177</v>
      </c>
      <c r="E1007" t="s">
        <v>2178</v>
      </c>
      <c r="F1007" s="4">
        <v>46103</v>
      </c>
      <c r="G1007"/>
      <c r="H1007"/>
      <c r="I1007" t="s">
        <v>22</v>
      </c>
      <c r="J1007">
        <v>17000</v>
      </c>
      <c r="K1007">
        <v>13000</v>
      </c>
      <c r="L1007"/>
      <c r="M1007"/>
      <c r="N1007"/>
      <c r="O1007" s="15"/>
      <c r="P1007" s="38"/>
      <c r="Q1007" s="45" t="e">
        <f>P1007/O1007</f>
        <v>#DIV/0!</v>
      </c>
      <c r="R1007" s="15"/>
      <c r="S1007" s="15"/>
      <c r="T1007"/>
      <c r="U1007"/>
    </row>
    <row r="1008" spans="1:21" s="34" customFormat="1" ht="14.5" x14ac:dyDescent="0.35">
      <c r="A1008" t="s">
        <v>737</v>
      </c>
      <c r="B1008" t="s">
        <v>25</v>
      </c>
      <c r="C1008"/>
      <c r="D1008" t="s">
        <v>808</v>
      </c>
      <c r="E1008" t="s">
        <v>2179</v>
      </c>
      <c r="F1008" s="4">
        <v>46208</v>
      </c>
      <c r="G1008"/>
      <c r="H1008"/>
      <c r="I1008" t="s">
        <v>22</v>
      </c>
      <c r="J1008" t="s">
        <v>35</v>
      </c>
      <c r="K1008" t="s">
        <v>35</v>
      </c>
      <c r="L1008" t="s">
        <v>35</v>
      </c>
      <c r="M1008" t="s">
        <v>35</v>
      </c>
      <c r="N1008"/>
      <c r="O1008" s="15"/>
      <c r="P1008" s="38"/>
      <c r="Q1008" s="45" t="e">
        <f>P1008/O1008</f>
        <v>#DIV/0!</v>
      </c>
      <c r="R1008" s="15"/>
      <c r="S1008" s="15"/>
      <c r="T1008"/>
      <c r="U1008"/>
    </row>
    <row r="1009" spans="1:21" s="34" customFormat="1" ht="14.5" x14ac:dyDescent="0.35">
      <c r="A1009" t="s">
        <v>737</v>
      </c>
      <c r="B1009" t="s">
        <v>25</v>
      </c>
      <c r="C1009"/>
      <c r="D1009" t="s">
        <v>2057</v>
      </c>
      <c r="E1009" t="s">
        <v>2199</v>
      </c>
      <c r="F1009" s="4">
        <v>46320</v>
      </c>
      <c r="G1009"/>
      <c r="H1009"/>
      <c r="I1009" t="s">
        <v>22</v>
      </c>
      <c r="J1009" t="s">
        <v>35</v>
      </c>
      <c r="K1009" t="s">
        <v>35</v>
      </c>
      <c r="L1009" t="s">
        <v>35</v>
      </c>
      <c r="M1009" t="s">
        <v>35</v>
      </c>
      <c r="N1009"/>
      <c r="O1009" s="15"/>
      <c r="P1009" s="38"/>
      <c r="Q1009" s="45" t="e">
        <f>P1009/O1009</f>
        <v>#DIV/0!</v>
      </c>
      <c r="R1009" s="15"/>
      <c r="S1009" s="15"/>
      <c r="T1009"/>
      <c r="U1009"/>
    </row>
    <row r="1010" spans="1:21" s="34" customFormat="1" ht="14.5" x14ac:dyDescent="0.35">
      <c r="A1010" t="s">
        <v>39</v>
      </c>
      <c r="B1010" t="s">
        <v>40</v>
      </c>
      <c r="C1010"/>
      <c r="D1010" t="s">
        <v>959</v>
      </c>
      <c r="E1010" t="s">
        <v>1776</v>
      </c>
      <c r="F1010" s="4">
        <v>46376</v>
      </c>
      <c r="G1010"/>
      <c r="H1010"/>
      <c r="I1010" t="s">
        <v>22</v>
      </c>
      <c r="J1010" t="s">
        <v>35</v>
      </c>
      <c r="K1010" t="s">
        <v>35</v>
      </c>
      <c r="L1010"/>
      <c r="M1010"/>
      <c r="N1010"/>
      <c r="O1010" s="15"/>
      <c r="P1010" s="38"/>
      <c r="Q1010" s="45" t="e">
        <f>P1010/O1010</f>
        <v>#DIV/0!</v>
      </c>
      <c r="R1010" s="15"/>
      <c r="S1010" s="15"/>
      <c r="T1010"/>
      <c r="U1010"/>
    </row>
    <row r="1011" spans="1:21" s="34" customFormat="1" ht="14.5" x14ac:dyDescent="0.35">
      <c r="A1011" t="s">
        <v>181</v>
      </c>
      <c r="B1011" t="s">
        <v>40</v>
      </c>
      <c r="C1011"/>
      <c r="D1011" t="s">
        <v>912</v>
      </c>
      <c r="E1011" t="s">
        <v>1954</v>
      </c>
      <c r="F1011"/>
      <c r="G1011"/>
      <c r="H1011"/>
      <c r="I1011"/>
      <c r="J1011"/>
      <c r="K1011"/>
      <c r="L1011"/>
      <c r="M1011"/>
      <c r="N1011"/>
      <c r="O1011" s="15"/>
      <c r="P1011" s="38"/>
      <c r="Q1011" s="45" t="e">
        <f>P1011/O1011</f>
        <v>#DIV/0!</v>
      </c>
      <c r="R1011" s="15"/>
      <c r="S1011" s="15"/>
      <c r="T1011"/>
      <c r="U1011"/>
    </row>
    <row r="1012" spans="1:21" s="34" customFormat="1" ht="14.5" x14ac:dyDescent="0.35">
      <c r="A1012" t="s">
        <v>581</v>
      </c>
      <c r="B1012" t="s">
        <v>40</v>
      </c>
      <c r="C1012"/>
      <c r="D1012" t="s">
        <v>1964</v>
      </c>
      <c r="E1012" t="s">
        <v>1965</v>
      </c>
      <c r="F1012" s="4">
        <v>46138</v>
      </c>
      <c r="G1012"/>
      <c r="H1012"/>
      <c r="I1012" t="s">
        <v>22</v>
      </c>
      <c r="J1012" t="s">
        <v>35</v>
      </c>
      <c r="K1012" t="s">
        <v>35</v>
      </c>
      <c r="L1012" t="s">
        <v>35</v>
      </c>
      <c r="M1012"/>
      <c r="N1012"/>
      <c r="O1012" s="15"/>
      <c r="P1012" s="38"/>
      <c r="Q1012" s="45" t="e">
        <f>P1012/O1012</f>
        <v>#DIV/0!</v>
      </c>
      <c r="R1012" s="15"/>
      <c r="S1012" s="15"/>
      <c r="T1012"/>
      <c r="U1012"/>
    </row>
    <row r="1013" spans="1:21" s="34" customFormat="1" ht="14.5" x14ac:dyDescent="0.35">
      <c r="A1013" t="s">
        <v>66</v>
      </c>
      <c r="B1013" t="s">
        <v>40</v>
      </c>
      <c r="C1013"/>
      <c r="D1013" t="s">
        <v>1992</v>
      </c>
      <c r="E1013" t="s">
        <v>1993</v>
      </c>
      <c r="F1013" s="4">
        <v>46138</v>
      </c>
      <c r="G1013"/>
      <c r="H1013"/>
      <c r="I1013" t="s">
        <v>22</v>
      </c>
      <c r="J1013" t="s">
        <v>35</v>
      </c>
      <c r="K1013" t="s">
        <v>35</v>
      </c>
      <c r="L1013" t="s">
        <v>35</v>
      </c>
      <c r="M1013"/>
      <c r="N1013"/>
      <c r="O1013" s="15"/>
      <c r="P1013" s="38"/>
      <c r="Q1013" s="45" t="e">
        <f>P1013/O1013</f>
        <v>#DIV/0!</v>
      </c>
      <c r="R1013" s="15"/>
      <c r="S1013" s="15"/>
      <c r="T1013"/>
      <c r="U1013"/>
    </row>
    <row r="1014" spans="1:21" s="34" customFormat="1" ht="29" x14ac:dyDescent="0.35">
      <c r="A1014" t="s">
        <v>66</v>
      </c>
      <c r="B1014" t="s">
        <v>40</v>
      </c>
      <c r="C1014"/>
      <c r="D1014" t="s">
        <v>1994</v>
      </c>
      <c r="E1014" s="10" t="s">
        <v>1995</v>
      </c>
      <c r="F1014" s="4">
        <v>46144</v>
      </c>
      <c r="G1014"/>
      <c r="H1014"/>
      <c r="I1014" t="s">
        <v>22</v>
      </c>
      <c r="J1014"/>
      <c r="K1014" t="s">
        <v>35</v>
      </c>
      <c r="L1014" t="s">
        <v>35</v>
      </c>
      <c r="M1014" t="s">
        <v>35</v>
      </c>
      <c r="N1014"/>
      <c r="O1014" s="15"/>
      <c r="P1014" s="38"/>
      <c r="Q1014" s="45" t="e">
        <f>P1014/O1014</f>
        <v>#DIV/0!</v>
      </c>
      <c r="R1014" s="15"/>
      <c r="S1014" s="15"/>
      <c r="T1014"/>
      <c r="U1014"/>
    </row>
    <row r="1015" spans="1:21" s="34" customFormat="1" ht="14.5" x14ac:dyDescent="0.35">
      <c r="A1015" t="s">
        <v>66</v>
      </c>
      <c r="B1015" t="s">
        <v>40</v>
      </c>
      <c r="C1015"/>
      <c r="D1015" t="s">
        <v>1996</v>
      </c>
      <c r="E1015" t="s">
        <v>1997</v>
      </c>
      <c r="F1015"/>
      <c r="G1015"/>
      <c r="H1015"/>
      <c r="I1015" t="s">
        <v>22</v>
      </c>
      <c r="J1015"/>
      <c r="K1015"/>
      <c r="L1015"/>
      <c r="M1015"/>
      <c r="N1015"/>
      <c r="O1015" s="15"/>
      <c r="P1015" s="38"/>
      <c r="Q1015" s="45" t="e">
        <f>P1015/O1015</f>
        <v>#DIV/0!</v>
      </c>
      <c r="R1015" s="15"/>
      <c r="S1015" s="15"/>
      <c r="T1015"/>
      <c r="U1015"/>
    </row>
    <row r="1016" spans="1:21" s="34" customFormat="1" ht="14.5" x14ac:dyDescent="0.35">
      <c r="A1016" t="s">
        <v>85</v>
      </c>
      <c r="B1016" t="s">
        <v>40</v>
      </c>
      <c r="C1016"/>
      <c r="D1016" t="s">
        <v>383</v>
      </c>
      <c r="E1016" t="s">
        <v>2115</v>
      </c>
      <c r="F1016"/>
      <c r="G1016"/>
      <c r="H1016"/>
      <c r="I1016" t="s">
        <v>22</v>
      </c>
      <c r="J1016"/>
      <c r="K1016" t="s">
        <v>35</v>
      </c>
      <c r="L1016" t="s">
        <v>35</v>
      </c>
      <c r="M1016" t="s">
        <v>35</v>
      </c>
      <c r="N1016"/>
      <c r="O1016" s="15"/>
      <c r="P1016" s="38"/>
      <c r="Q1016" s="45" t="e">
        <f>P1016/O1016</f>
        <v>#DIV/0!</v>
      </c>
      <c r="R1016" s="15"/>
      <c r="S1016" s="15"/>
      <c r="T1016"/>
      <c r="U1016" t="s">
        <v>2116</v>
      </c>
    </row>
    <row r="1017" spans="1:21" s="34" customFormat="1" ht="14.5" x14ac:dyDescent="0.35">
      <c r="A1017" t="s">
        <v>421</v>
      </c>
      <c r="B1017" t="s">
        <v>201</v>
      </c>
      <c r="C1017"/>
      <c r="D1017" t="s">
        <v>720</v>
      </c>
      <c r="E1017" t="s">
        <v>2190</v>
      </c>
      <c r="F1017" s="4">
        <v>46033</v>
      </c>
      <c r="G1017"/>
      <c r="H1017"/>
      <c r="I1017" t="s">
        <v>22</v>
      </c>
      <c r="J1017"/>
      <c r="K1017" t="s">
        <v>35</v>
      </c>
      <c r="L1017" t="s">
        <v>35</v>
      </c>
      <c r="M1017"/>
      <c r="N1017"/>
      <c r="O1017" s="15">
        <v>2000</v>
      </c>
      <c r="P1017" s="38"/>
      <c r="Q1017" s="45">
        <f>P1017/O1017</f>
        <v>0</v>
      </c>
      <c r="R1017" s="15"/>
      <c r="S1017" s="15"/>
      <c r="T1017"/>
      <c r="U1017"/>
    </row>
    <row r="1018" spans="1:21" s="34" customFormat="1" ht="14.5" x14ac:dyDescent="0.35">
      <c r="A1018" t="s">
        <v>499</v>
      </c>
      <c r="B1018" t="s">
        <v>201</v>
      </c>
      <c r="C1018"/>
      <c r="D1018" t="s">
        <v>2110</v>
      </c>
      <c r="E1018" t="s">
        <v>2111</v>
      </c>
      <c r="F1018" s="4">
        <v>46292</v>
      </c>
      <c r="G1018"/>
      <c r="H1018"/>
      <c r="I1018" t="s">
        <v>22</v>
      </c>
      <c r="J1018"/>
      <c r="K1018" t="s">
        <v>35</v>
      </c>
      <c r="L1018" t="s">
        <v>35</v>
      </c>
      <c r="M1018" t="s">
        <v>35</v>
      </c>
      <c r="N1018"/>
      <c r="O1018" s="15"/>
      <c r="P1018" s="38"/>
      <c r="Q1018" s="45" t="e">
        <f>P1018/O1018</f>
        <v>#DIV/0!</v>
      </c>
      <c r="R1018" s="15"/>
      <c r="S1018" s="15"/>
      <c r="T1018"/>
      <c r="U1018"/>
    </row>
    <row r="1019" spans="1:21" s="34" customFormat="1" ht="14.5" x14ac:dyDescent="0.35">
      <c r="A1019" t="s">
        <v>2182</v>
      </c>
      <c r="B1019" t="s">
        <v>201</v>
      </c>
      <c r="C1019"/>
      <c r="D1019" t="s">
        <v>2185</v>
      </c>
      <c r="E1019" t="s">
        <v>2186</v>
      </c>
      <c r="F1019" s="4">
        <v>46173</v>
      </c>
      <c r="G1019"/>
      <c r="H1019"/>
      <c r="I1019" t="s">
        <v>22</v>
      </c>
      <c r="J1019"/>
      <c r="K1019" t="s">
        <v>35</v>
      </c>
      <c r="L1019" t="s">
        <v>35</v>
      </c>
      <c r="M1019"/>
      <c r="N1019" t="s">
        <v>495</v>
      </c>
      <c r="O1019" s="15"/>
      <c r="P1019" s="38"/>
      <c r="Q1019" s="45" t="e">
        <f>P1019/O1019</f>
        <v>#DIV/0!</v>
      </c>
      <c r="R1019" s="15"/>
      <c r="S1019" s="15"/>
      <c r="T1019"/>
      <c r="U1019"/>
    </row>
    <row r="1020" spans="1:21" s="34" customFormat="1" ht="14.5" x14ac:dyDescent="0.35">
      <c r="A1020" t="s">
        <v>2289</v>
      </c>
      <c r="B1020" t="s">
        <v>201</v>
      </c>
      <c r="C1020"/>
      <c r="D1020" t="s">
        <v>720</v>
      </c>
      <c r="E1020" t="s">
        <v>2304</v>
      </c>
      <c r="F1020" s="11">
        <v>46334</v>
      </c>
      <c r="G1020"/>
      <c r="H1020"/>
      <c r="I1020" t="s">
        <v>22</v>
      </c>
      <c r="J1020"/>
      <c r="K1020" t="s">
        <v>35</v>
      </c>
      <c r="L1020"/>
      <c r="M1020"/>
      <c r="N1020"/>
      <c r="O1020" s="15"/>
      <c r="P1020" s="38"/>
      <c r="Q1020" s="45" t="e">
        <f>P1020/O1020</f>
        <v>#DIV/0!</v>
      </c>
      <c r="R1020" s="15"/>
      <c r="S1020" s="15"/>
      <c r="T1020"/>
      <c r="U1020"/>
    </row>
    <row r="1021" spans="1:21" s="34" customFormat="1" ht="14.5" x14ac:dyDescent="0.35">
      <c r="A1021" t="s">
        <v>2289</v>
      </c>
      <c r="B1021" t="s">
        <v>201</v>
      </c>
      <c r="C1021"/>
      <c r="D1021" t="s">
        <v>720</v>
      </c>
      <c r="E1021" t="s">
        <v>2305</v>
      </c>
      <c r="F1021" s="11">
        <v>46131</v>
      </c>
      <c r="G1021"/>
      <c r="H1021"/>
      <c r="I1021" t="s">
        <v>22</v>
      </c>
      <c r="J1021"/>
      <c r="K1021" t="s">
        <v>35</v>
      </c>
      <c r="L1021" t="s">
        <v>35</v>
      </c>
      <c r="M1021" t="s">
        <v>35</v>
      </c>
      <c r="N1021" t="s">
        <v>2306</v>
      </c>
      <c r="O1021" s="15"/>
      <c r="P1021" s="38"/>
      <c r="Q1021" s="45" t="e">
        <f>P1021/O1021</f>
        <v>#DIV/0!</v>
      </c>
      <c r="R1021" s="15"/>
      <c r="S1021" s="15"/>
      <c r="T1021"/>
      <c r="U1021"/>
    </row>
    <row r="1022" spans="1:21" s="34" customFormat="1" ht="14.5" x14ac:dyDescent="0.35">
      <c r="A1022" t="s">
        <v>2289</v>
      </c>
      <c r="B1022" t="s">
        <v>201</v>
      </c>
      <c r="C1022"/>
      <c r="D1022" t="s">
        <v>2217</v>
      </c>
      <c r="E1022" t="s">
        <v>2218</v>
      </c>
      <c r="F1022" s="4">
        <v>46383</v>
      </c>
      <c r="G1022"/>
      <c r="H1022"/>
      <c r="I1022" t="s">
        <v>22</v>
      </c>
      <c r="J1022"/>
      <c r="K1022" t="s">
        <v>35</v>
      </c>
      <c r="L1022" t="s">
        <v>35</v>
      </c>
      <c r="M1022" t="s">
        <v>35</v>
      </c>
      <c r="N1022" t="s">
        <v>2307</v>
      </c>
      <c r="O1022" s="15"/>
      <c r="P1022" s="38"/>
      <c r="Q1022" s="45" t="e">
        <f>P1022/O1022</f>
        <v>#DIV/0!</v>
      </c>
      <c r="R1022" s="15"/>
      <c r="S1022" s="15"/>
      <c r="T1022"/>
      <c r="U1022"/>
    </row>
    <row r="1023" spans="1:21" s="34" customFormat="1" ht="14.5" x14ac:dyDescent="0.35">
      <c r="A1023" t="s">
        <v>16</v>
      </c>
      <c r="B1023" t="s">
        <v>17</v>
      </c>
      <c r="C1023"/>
      <c r="D1023" t="s">
        <v>2220</v>
      </c>
      <c r="E1023" t="s">
        <v>2221</v>
      </c>
      <c r="F1023" s="4">
        <v>46124</v>
      </c>
      <c r="G1023"/>
      <c r="H1023"/>
      <c r="I1023" t="s">
        <v>22</v>
      </c>
      <c r="J1023" t="s">
        <v>35</v>
      </c>
      <c r="K1023" t="s">
        <v>35</v>
      </c>
      <c r="L1023" t="s">
        <v>35</v>
      </c>
      <c r="M1023" t="s">
        <v>35</v>
      </c>
      <c r="N1023"/>
      <c r="O1023" s="15"/>
      <c r="P1023" s="38"/>
      <c r="Q1023" s="45" t="e">
        <f>P1023/O1023</f>
        <v>#DIV/0!</v>
      </c>
      <c r="R1023" s="15"/>
      <c r="S1023" s="15"/>
      <c r="T1023"/>
      <c r="U1023"/>
    </row>
    <row r="1024" spans="1:21" s="34" customFormat="1" ht="14.5" x14ac:dyDescent="0.35">
      <c r="A1024" t="s">
        <v>16</v>
      </c>
      <c r="B1024" t="s">
        <v>17</v>
      </c>
      <c r="C1024"/>
      <c r="D1024" t="s">
        <v>2226</v>
      </c>
      <c r="E1024" t="s">
        <v>2227</v>
      </c>
      <c r="F1024" s="4">
        <v>46145</v>
      </c>
      <c r="G1024"/>
      <c r="H1024"/>
      <c r="I1024" t="s">
        <v>22</v>
      </c>
      <c r="J1024"/>
      <c r="K1024"/>
      <c r="L1024"/>
      <c r="M1024"/>
      <c r="N1024"/>
      <c r="O1024" s="15"/>
      <c r="P1024" s="38"/>
      <c r="Q1024" s="45" t="e">
        <f>P1024/O1024</f>
        <v>#DIV/0!</v>
      </c>
      <c r="R1024" s="15"/>
      <c r="S1024" s="15"/>
      <c r="T1024"/>
      <c r="U1024"/>
    </row>
  </sheetData>
  <autoFilter ref="A2:U1024" xr:uid="{F96D0BE3-9E1A-43AF-9808-CBDF2F58082F}">
    <sortState xmlns:xlrd2="http://schemas.microsoft.com/office/spreadsheetml/2017/richdata2" ref="A3:U1024">
      <sortCondition descending="1" ref="P2:P1024"/>
    </sortState>
  </autoFilter>
  <mergeCells count="4">
    <mergeCell ref="A1:B1"/>
    <mergeCell ref="J1:M1"/>
    <mergeCell ref="O1:Q1"/>
    <mergeCell ref="R1:S1"/>
  </mergeCells>
  <hyperlinks>
    <hyperlink ref="U514" r:id="rId1" xr:uid="{2F22F94B-E5AC-4C63-9CB2-8A96EE9E2DC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BBD2C4D6F1314286F9E5C46B3EBABC" ma:contentTypeVersion="14" ma:contentTypeDescription="Crée un document." ma:contentTypeScope="" ma:versionID="079b7fa156b3aadd3ae4761e546abd15">
  <xsd:schema xmlns:xsd="http://www.w3.org/2001/XMLSchema" xmlns:xs="http://www.w3.org/2001/XMLSchema" xmlns:p="http://schemas.microsoft.com/office/2006/metadata/properties" xmlns:ns2="7c529ff2-56b4-476d-9abc-72d5ecb48c57" xmlns:ns3="87d2ee83-2ad3-48b2-87bf-51787acfd605" targetNamespace="http://schemas.microsoft.com/office/2006/metadata/properties" ma:root="true" ma:fieldsID="0dd375dfe6d7d164b99f9d92aa8febef" ns2:_="" ns3:_="">
    <xsd:import namespace="7c529ff2-56b4-476d-9abc-72d5ecb48c57"/>
    <xsd:import namespace="87d2ee83-2ad3-48b2-87bf-51787acfd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29ff2-56b4-476d-9abc-72d5ecb48c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2e8fffaf-9565-4fa6-b36f-8b1cafa55c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2ee83-2ad3-48b2-87bf-51787acfd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3585561-28f8-488c-89d7-4743c466769c}" ma:internalName="TaxCatchAll" ma:showField="CatchAllData" ma:web="87d2ee83-2ad3-48b2-87bf-51787acfd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d2ee83-2ad3-48b2-87bf-51787acfd605" xsi:nil="true"/>
    <lcf76f155ced4ddcb4097134ff3c332f xmlns="7c529ff2-56b4-476d-9abc-72d5ecb48c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DD8A56-B871-43D3-A556-BE1BC76636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29DCB3-736D-4E3E-A9FF-55F017B28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29ff2-56b4-476d-9abc-72d5ecb48c57"/>
    <ds:schemaRef ds:uri="87d2ee83-2ad3-48b2-87bf-51787acfd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247A70-5127-4434-9F05-B7DB788B8340}">
  <ds:schemaRefs>
    <ds:schemaRef ds:uri="http://schemas.microsoft.com/office/2006/metadata/properties"/>
    <ds:schemaRef ds:uri="http://schemas.microsoft.com/office/infopath/2007/PartnerControls"/>
    <ds:schemaRef ds:uri="87d2ee83-2ad3-48b2-87bf-51787acfd605"/>
    <ds:schemaRef ds:uri="7c529ff2-56b4-476d-9abc-72d5ecb48c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POUJOL Aurore</dc:creator>
  <cp:keywords/>
  <dc:description/>
  <cp:lastModifiedBy>CHOQUET Jeremi</cp:lastModifiedBy>
  <cp:revision/>
  <dcterms:created xsi:type="dcterms:W3CDTF">2026-02-09T12:55:33Z</dcterms:created>
  <dcterms:modified xsi:type="dcterms:W3CDTF">2026-04-14T09:40:19Z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0x010100EBBBD2C4D6F1314286F9E5C46B3EBABC</vt:lpwstr>
  </property>
  <property fmtid="{D5CDD505-2E9C-101B-9397-08002B2CF9AE}" pid="3" name="MediaServiceImageTags">
    <vt:lpwstr/>
  </property>
</Properties>
</file>